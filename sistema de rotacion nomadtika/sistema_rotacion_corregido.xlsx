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za_\Desktop\"/>
    </mc:Choice>
  </mc:AlternateContent>
  <xr:revisionPtr revIDLastSave="0" documentId="13_ncr:1_{9B9052F1-6973-4AC1-8247-ADA137EA52C3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istema Rotación" sheetId="1" r:id="rId1"/>
    <sheet name="Hoja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1" i="1" l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M13" i="1"/>
  <c r="F13" i="1"/>
  <c r="E13" i="1"/>
  <c r="D13" i="1"/>
  <c r="G12" i="1"/>
  <c r="D12" i="1"/>
  <c r="R13" i="1" s="1"/>
  <c r="B12" i="1"/>
  <c r="Q13" i="1" l="1"/>
  <c r="L13" i="1"/>
  <c r="K13" i="1"/>
  <c r="J13" i="1"/>
  <c r="N13" i="1"/>
  <c r="O13" i="1"/>
  <c r="I13" i="1"/>
  <c r="G13" i="1"/>
  <c r="F14" i="1"/>
  <c r="H13" i="1"/>
  <c r="P13" i="1"/>
  <c r="I14" i="1" l="1"/>
  <c r="H14" i="1"/>
  <c r="G14" i="1"/>
  <c r="F15" i="1"/>
  <c r="L14" i="1"/>
  <c r="J14" i="1"/>
  <c r="K14" i="1"/>
  <c r="B13" i="1"/>
  <c r="Q14" i="1" l="1"/>
  <c r="P14" i="1"/>
  <c r="O14" i="1"/>
  <c r="N14" i="1"/>
  <c r="R14" i="1"/>
  <c r="M14" i="1"/>
  <c r="I15" i="1"/>
  <c r="F16" i="1"/>
  <c r="H15" i="1"/>
  <c r="G15" i="1"/>
  <c r="L15" i="1"/>
  <c r="K15" i="1"/>
  <c r="J15" i="1"/>
  <c r="B14" i="1" l="1"/>
  <c r="P15" i="1" s="1"/>
  <c r="I16" i="1"/>
  <c r="H16" i="1"/>
  <c r="G16" i="1"/>
  <c r="F17" i="1"/>
  <c r="J16" i="1"/>
  <c r="K16" i="1"/>
  <c r="L16" i="1"/>
  <c r="Q15" i="1" l="1"/>
  <c r="M15" i="1"/>
  <c r="R15" i="1"/>
  <c r="N15" i="1"/>
  <c r="O15" i="1"/>
  <c r="I17" i="1"/>
  <c r="F18" i="1"/>
  <c r="H17" i="1"/>
  <c r="G17" i="1"/>
  <c r="J17" i="1"/>
  <c r="L17" i="1"/>
  <c r="K17" i="1"/>
  <c r="B15" i="1" l="1"/>
  <c r="I18" i="1"/>
  <c r="H18" i="1"/>
  <c r="G18" i="1"/>
  <c r="F19" i="1"/>
  <c r="L18" i="1"/>
  <c r="K18" i="1"/>
  <c r="J18" i="1"/>
  <c r="R16" i="1" l="1"/>
  <c r="Q16" i="1"/>
  <c r="P16" i="1"/>
  <c r="N16" i="1"/>
  <c r="M16" i="1"/>
  <c r="O16" i="1"/>
  <c r="I19" i="1"/>
  <c r="H19" i="1"/>
  <c r="F20" i="1"/>
  <c r="G19" i="1"/>
  <c r="K19" i="1"/>
  <c r="J19" i="1"/>
  <c r="L19" i="1"/>
  <c r="B16" i="1" l="1"/>
  <c r="I20" i="1"/>
  <c r="F21" i="1"/>
  <c r="H20" i="1"/>
  <c r="G20" i="1"/>
  <c r="L20" i="1"/>
  <c r="J20" i="1"/>
  <c r="K20" i="1"/>
  <c r="P17" i="1" l="1"/>
  <c r="O17" i="1"/>
  <c r="N17" i="1"/>
  <c r="R17" i="1"/>
  <c r="M17" i="1"/>
  <c r="Q17" i="1"/>
  <c r="I21" i="1"/>
  <c r="G21" i="1"/>
  <c r="H21" i="1"/>
  <c r="F22" i="1"/>
  <c r="L21" i="1"/>
  <c r="K21" i="1"/>
  <c r="J21" i="1"/>
  <c r="B17" i="1" l="1"/>
  <c r="I22" i="1"/>
  <c r="H22" i="1"/>
  <c r="G22" i="1"/>
  <c r="F23" i="1"/>
  <c r="K22" i="1"/>
  <c r="J22" i="1"/>
  <c r="L22" i="1"/>
  <c r="N18" i="1" l="1"/>
  <c r="O18" i="1"/>
  <c r="R18" i="1"/>
  <c r="Q18" i="1"/>
  <c r="P18" i="1"/>
  <c r="M18" i="1"/>
  <c r="B18" i="1" s="1"/>
  <c r="I23" i="1"/>
  <c r="H23" i="1"/>
  <c r="G23" i="1"/>
  <c r="F24" i="1"/>
  <c r="J23" i="1"/>
  <c r="L23" i="1"/>
  <c r="K23" i="1"/>
  <c r="P19" i="1" l="1"/>
  <c r="O19" i="1"/>
  <c r="N19" i="1"/>
  <c r="R19" i="1"/>
  <c r="M19" i="1"/>
  <c r="Q19" i="1"/>
  <c r="I24" i="1"/>
  <c r="F25" i="1"/>
  <c r="H24" i="1"/>
  <c r="G24" i="1"/>
  <c r="L24" i="1"/>
  <c r="K24" i="1"/>
  <c r="J24" i="1"/>
  <c r="B19" i="1" l="1"/>
  <c r="I25" i="1"/>
  <c r="H25" i="1"/>
  <c r="F26" i="1"/>
  <c r="G25" i="1"/>
  <c r="J25" i="1"/>
  <c r="L25" i="1"/>
  <c r="K25" i="1"/>
  <c r="R20" i="1" l="1"/>
  <c r="M20" i="1"/>
  <c r="Q20" i="1"/>
  <c r="P20" i="1"/>
  <c r="O20" i="1"/>
  <c r="N20" i="1"/>
  <c r="I26" i="1"/>
  <c r="F27" i="1"/>
  <c r="H26" i="1"/>
  <c r="G26" i="1"/>
  <c r="K26" i="1"/>
  <c r="L26" i="1"/>
  <c r="J26" i="1"/>
  <c r="B20" i="1" l="1"/>
  <c r="Q21" i="1" s="1"/>
  <c r="I27" i="1"/>
  <c r="H27" i="1"/>
  <c r="G27" i="1"/>
  <c r="F28" i="1"/>
  <c r="K27" i="1"/>
  <c r="J27" i="1"/>
  <c r="L27" i="1"/>
  <c r="M21" i="1" l="1"/>
  <c r="R21" i="1"/>
  <c r="N21" i="1"/>
  <c r="O21" i="1"/>
  <c r="P21" i="1"/>
  <c r="I28" i="1"/>
  <c r="F29" i="1"/>
  <c r="H28" i="1"/>
  <c r="G28" i="1"/>
  <c r="J28" i="1"/>
  <c r="L28" i="1"/>
  <c r="K28" i="1"/>
  <c r="B21" i="1" l="1"/>
  <c r="Q22" i="1" s="1"/>
  <c r="I29" i="1"/>
  <c r="H29" i="1"/>
  <c r="G29" i="1"/>
  <c r="F30" i="1"/>
  <c r="K29" i="1"/>
  <c r="J29" i="1"/>
  <c r="L29" i="1"/>
  <c r="R22" i="1" l="1"/>
  <c r="N22" i="1"/>
  <c r="P22" i="1"/>
  <c r="O22" i="1"/>
  <c r="M22" i="1"/>
  <c r="I30" i="1"/>
  <c r="F31" i="1"/>
  <c r="H30" i="1"/>
  <c r="G30" i="1"/>
  <c r="J30" i="1"/>
  <c r="L30" i="1"/>
  <c r="K30" i="1"/>
  <c r="B22" i="1" l="1"/>
  <c r="Q23" i="1" s="1"/>
  <c r="I31" i="1"/>
  <c r="H31" i="1"/>
  <c r="F32" i="1"/>
  <c r="G31" i="1"/>
  <c r="K31" i="1"/>
  <c r="L31" i="1"/>
  <c r="J31" i="1"/>
  <c r="N23" i="1" l="1"/>
  <c r="O23" i="1"/>
  <c r="P23" i="1"/>
  <c r="R23" i="1"/>
  <c r="M23" i="1"/>
  <c r="B23" i="1"/>
  <c r="Q24" i="1" s="1"/>
  <c r="I32" i="1"/>
  <c r="F33" i="1"/>
  <c r="H32" i="1"/>
  <c r="G32" i="1"/>
  <c r="L32" i="1"/>
  <c r="K32" i="1"/>
  <c r="J32" i="1"/>
  <c r="O24" i="1" l="1"/>
  <c r="R24" i="1"/>
  <c r="P24" i="1"/>
  <c r="M24" i="1"/>
  <c r="N24" i="1"/>
  <c r="I33" i="1"/>
  <c r="H33" i="1"/>
  <c r="F34" i="1"/>
  <c r="G33" i="1"/>
  <c r="L33" i="1"/>
  <c r="K33" i="1"/>
  <c r="J33" i="1"/>
  <c r="B24" i="1" l="1"/>
  <c r="O25" i="1" s="1"/>
  <c r="I34" i="1"/>
  <c r="F35" i="1"/>
  <c r="H34" i="1"/>
  <c r="G34" i="1"/>
  <c r="J34" i="1"/>
  <c r="L34" i="1"/>
  <c r="K34" i="1"/>
  <c r="N25" i="1" l="1"/>
  <c r="B25" i="1" s="1"/>
  <c r="M25" i="1"/>
  <c r="R25" i="1"/>
  <c r="Q25" i="1"/>
  <c r="P25" i="1"/>
  <c r="I35" i="1"/>
  <c r="H35" i="1"/>
  <c r="G35" i="1"/>
  <c r="F36" i="1"/>
  <c r="J35" i="1"/>
  <c r="K35" i="1"/>
  <c r="L35" i="1"/>
  <c r="M26" i="1" l="1"/>
  <c r="B26" i="1" s="1"/>
  <c r="Q26" i="1"/>
  <c r="P26" i="1"/>
  <c r="N26" i="1"/>
  <c r="O26" i="1"/>
  <c r="R26" i="1"/>
  <c r="I36" i="1"/>
  <c r="H36" i="1"/>
  <c r="F37" i="1"/>
  <c r="G36" i="1"/>
  <c r="L36" i="1"/>
  <c r="J36" i="1"/>
  <c r="K36" i="1"/>
  <c r="N27" i="1" l="1"/>
  <c r="O27" i="1"/>
  <c r="P27" i="1"/>
  <c r="M27" i="1"/>
  <c r="R27" i="1"/>
  <c r="Q27" i="1"/>
  <c r="L37" i="1"/>
  <c r="I37" i="1"/>
  <c r="H37" i="1"/>
  <c r="G37" i="1"/>
  <c r="F38" i="1"/>
  <c r="K37" i="1"/>
  <c r="J37" i="1"/>
  <c r="B27" i="1" l="1"/>
  <c r="L38" i="1"/>
  <c r="J38" i="1"/>
  <c r="I38" i="1"/>
  <c r="G38" i="1"/>
  <c r="H38" i="1"/>
  <c r="K38" i="1"/>
  <c r="F39" i="1"/>
  <c r="Q28" i="1" l="1"/>
  <c r="M28" i="1"/>
  <c r="P28" i="1"/>
  <c r="N28" i="1"/>
  <c r="O28" i="1"/>
  <c r="R28" i="1"/>
  <c r="L39" i="1"/>
  <c r="K39" i="1"/>
  <c r="J39" i="1"/>
  <c r="H39" i="1"/>
  <c r="I39" i="1"/>
  <c r="G39" i="1"/>
  <c r="F40" i="1"/>
  <c r="B28" i="1" l="1"/>
  <c r="L40" i="1"/>
  <c r="K40" i="1"/>
  <c r="H40" i="1"/>
  <c r="J40" i="1"/>
  <c r="I40" i="1"/>
  <c r="G40" i="1"/>
  <c r="F41" i="1"/>
  <c r="P29" i="1" l="1"/>
  <c r="N29" i="1"/>
  <c r="O29" i="1"/>
  <c r="R29" i="1"/>
  <c r="Q29" i="1"/>
  <c r="M29" i="1"/>
  <c r="L41" i="1"/>
  <c r="J41" i="1"/>
  <c r="I41" i="1"/>
  <c r="K41" i="1"/>
  <c r="F42" i="1"/>
  <c r="H41" i="1"/>
  <c r="G41" i="1"/>
  <c r="B29" i="1" l="1"/>
  <c r="R30" i="1" s="1"/>
  <c r="L42" i="1"/>
  <c r="J42" i="1"/>
  <c r="H42" i="1"/>
  <c r="G42" i="1"/>
  <c r="K42" i="1"/>
  <c r="F43" i="1"/>
  <c r="I42" i="1"/>
  <c r="N30" i="1" l="1"/>
  <c r="P30" i="1"/>
  <c r="O30" i="1"/>
  <c r="M30" i="1"/>
  <c r="Q30" i="1"/>
  <c r="L43" i="1"/>
  <c r="K43" i="1"/>
  <c r="J43" i="1"/>
  <c r="I43" i="1"/>
  <c r="F44" i="1"/>
  <c r="H43" i="1"/>
  <c r="G43" i="1"/>
  <c r="B30" i="1" l="1"/>
  <c r="M31" i="1" s="1"/>
  <c r="L44" i="1"/>
  <c r="K44" i="1"/>
  <c r="J44" i="1"/>
  <c r="F45" i="1"/>
  <c r="I44" i="1"/>
  <c r="H44" i="1"/>
  <c r="G44" i="1"/>
  <c r="P31" i="1" l="1"/>
  <c r="B31" i="1" s="1"/>
  <c r="R31" i="1"/>
  <c r="Q31" i="1"/>
  <c r="N31" i="1"/>
  <c r="O31" i="1"/>
  <c r="L45" i="1"/>
  <c r="K45" i="1"/>
  <c r="J45" i="1"/>
  <c r="G45" i="1"/>
  <c r="F46" i="1"/>
  <c r="I45" i="1"/>
  <c r="H45" i="1"/>
  <c r="M32" i="1" l="1"/>
  <c r="R32" i="1"/>
  <c r="Q32" i="1"/>
  <c r="P32" i="1"/>
  <c r="O32" i="1"/>
  <c r="N32" i="1"/>
  <c r="L46" i="1"/>
  <c r="K46" i="1"/>
  <c r="J46" i="1"/>
  <c r="H46" i="1"/>
  <c r="G46" i="1"/>
  <c r="F47" i="1"/>
  <c r="I46" i="1"/>
  <c r="B32" i="1" l="1"/>
  <c r="L47" i="1"/>
  <c r="K47" i="1"/>
  <c r="J47" i="1"/>
  <c r="H47" i="1"/>
  <c r="G47" i="1"/>
  <c r="F48" i="1"/>
  <c r="I47" i="1"/>
  <c r="Q33" i="1" l="1"/>
  <c r="P33" i="1"/>
  <c r="M33" i="1"/>
  <c r="O33" i="1"/>
  <c r="N33" i="1"/>
  <c r="R33" i="1"/>
  <c r="L48" i="1"/>
  <c r="K48" i="1"/>
  <c r="J48" i="1"/>
  <c r="I48" i="1"/>
  <c r="F49" i="1"/>
  <c r="H48" i="1"/>
  <c r="G48" i="1"/>
  <c r="B33" i="1" l="1"/>
  <c r="L49" i="1"/>
  <c r="K49" i="1"/>
  <c r="J49" i="1"/>
  <c r="G49" i="1"/>
  <c r="F50" i="1"/>
  <c r="I49" i="1"/>
  <c r="H49" i="1"/>
  <c r="O34" i="1" l="1"/>
  <c r="Q34" i="1"/>
  <c r="R34" i="1"/>
  <c r="M34" i="1"/>
  <c r="P34" i="1"/>
  <c r="N34" i="1"/>
  <c r="L50" i="1"/>
  <c r="K50" i="1"/>
  <c r="J50" i="1"/>
  <c r="G50" i="1"/>
  <c r="I50" i="1"/>
  <c r="H50" i="1"/>
  <c r="F51" i="1"/>
  <c r="B34" i="1" l="1"/>
  <c r="L51" i="1"/>
  <c r="K51" i="1"/>
  <c r="J51" i="1"/>
  <c r="I51" i="1"/>
  <c r="H51" i="1"/>
  <c r="F52" i="1"/>
  <c r="G51" i="1"/>
  <c r="P35" i="1" l="1"/>
  <c r="N35" i="1"/>
  <c r="M35" i="1"/>
  <c r="Q35" i="1"/>
  <c r="O35" i="1"/>
  <c r="R35" i="1"/>
  <c r="L52" i="1"/>
  <c r="K52" i="1"/>
  <c r="J52" i="1"/>
  <c r="F53" i="1"/>
  <c r="I52" i="1"/>
  <c r="H52" i="1"/>
  <c r="G52" i="1"/>
  <c r="B35" i="1" l="1"/>
  <c r="O36" i="1" s="1"/>
  <c r="L53" i="1"/>
  <c r="K53" i="1"/>
  <c r="J53" i="1"/>
  <c r="F54" i="1"/>
  <c r="G53" i="1"/>
  <c r="I53" i="1"/>
  <c r="H53" i="1"/>
  <c r="M36" i="1" l="1"/>
  <c r="P36" i="1"/>
  <c r="N36" i="1"/>
  <c r="Q36" i="1"/>
  <c r="R36" i="1"/>
  <c r="L54" i="1"/>
  <c r="K54" i="1"/>
  <c r="J54" i="1"/>
  <c r="F55" i="1"/>
  <c r="I54" i="1"/>
  <c r="H54" i="1"/>
  <c r="G54" i="1"/>
  <c r="B36" i="1" l="1"/>
  <c r="Q37" i="1" s="1"/>
  <c r="L55" i="1"/>
  <c r="K55" i="1"/>
  <c r="J55" i="1"/>
  <c r="H55" i="1"/>
  <c r="G55" i="1"/>
  <c r="I55" i="1"/>
  <c r="F56" i="1"/>
  <c r="R37" i="1" l="1"/>
  <c r="O37" i="1"/>
  <c r="N37" i="1"/>
  <c r="M37" i="1"/>
  <c r="P37" i="1"/>
  <c r="L56" i="1"/>
  <c r="K56" i="1"/>
  <c r="J56" i="1"/>
  <c r="F57" i="1"/>
  <c r="I56" i="1"/>
  <c r="H56" i="1"/>
  <c r="G56" i="1"/>
  <c r="B37" i="1" l="1"/>
  <c r="M38" i="1" s="1"/>
  <c r="L57" i="1"/>
  <c r="K57" i="1"/>
  <c r="J57" i="1"/>
  <c r="F58" i="1"/>
  <c r="I57" i="1"/>
  <c r="H57" i="1"/>
  <c r="G57" i="1"/>
  <c r="O38" i="1" l="1"/>
  <c r="N38" i="1"/>
  <c r="Q38" i="1"/>
  <c r="R38" i="1"/>
  <c r="P38" i="1"/>
  <c r="I58" i="1"/>
  <c r="F59" i="1"/>
  <c r="L58" i="1"/>
  <c r="G58" i="1"/>
  <c r="J58" i="1"/>
  <c r="H58" i="1"/>
  <c r="K58" i="1"/>
  <c r="B38" i="1" l="1"/>
  <c r="P39" i="1" s="1"/>
  <c r="Q39" i="1"/>
  <c r="J59" i="1"/>
  <c r="I59" i="1"/>
  <c r="H59" i="1"/>
  <c r="G59" i="1"/>
  <c r="F60" i="1"/>
  <c r="L59" i="1"/>
  <c r="K59" i="1"/>
  <c r="M39" i="1" l="1"/>
  <c r="R39" i="1"/>
  <c r="O39" i="1"/>
  <c r="N39" i="1"/>
  <c r="J60" i="1"/>
  <c r="I60" i="1"/>
  <c r="F61" i="1"/>
  <c r="L60" i="1"/>
  <c r="K60" i="1"/>
  <c r="H60" i="1"/>
  <c r="G60" i="1"/>
  <c r="B39" i="1" l="1"/>
  <c r="J61" i="1"/>
  <c r="I61" i="1"/>
  <c r="H61" i="1"/>
  <c r="G61" i="1"/>
  <c r="F62" i="1"/>
  <c r="L61" i="1"/>
  <c r="K61" i="1"/>
  <c r="Q40" i="1" l="1"/>
  <c r="N40" i="1"/>
  <c r="P40" i="1"/>
  <c r="M40" i="1"/>
  <c r="R40" i="1"/>
  <c r="O40" i="1"/>
  <c r="J62" i="1"/>
  <c r="I62" i="1"/>
  <c r="F63" i="1"/>
  <c r="L62" i="1"/>
  <c r="H62" i="1"/>
  <c r="G62" i="1"/>
  <c r="K62" i="1"/>
  <c r="B40" i="1" l="1"/>
  <c r="J63" i="1"/>
  <c r="I63" i="1"/>
  <c r="H63" i="1"/>
  <c r="G63" i="1"/>
  <c r="F64" i="1"/>
  <c r="K63" i="1"/>
  <c r="L63" i="1"/>
  <c r="R41" i="1" l="1"/>
  <c r="P41" i="1"/>
  <c r="O41" i="1"/>
  <c r="Q41" i="1"/>
  <c r="N41" i="1"/>
  <c r="M41" i="1"/>
  <c r="B41" i="1" s="1"/>
  <c r="M42" i="1" s="1"/>
  <c r="J64" i="1"/>
  <c r="I64" i="1"/>
  <c r="F65" i="1"/>
  <c r="L64" i="1"/>
  <c r="K64" i="1"/>
  <c r="H64" i="1"/>
  <c r="G64" i="1"/>
  <c r="Q42" i="1" l="1"/>
  <c r="N42" i="1"/>
  <c r="R42" i="1"/>
  <c r="P42" i="1"/>
  <c r="O42" i="1"/>
  <c r="B42" i="1"/>
  <c r="M43" i="1" s="1"/>
  <c r="J65" i="1"/>
  <c r="I65" i="1"/>
  <c r="H65" i="1"/>
  <c r="G65" i="1"/>
  <c r="F66" i="1"/>
  <c r="K65" i="1"/>
  <c r="L65" i="1"/>
  <c r="O43" i="1" l="1"/>
  <c r="N43" i="1"/>
  <c r="R43" i="1"/>
  <c r="Q43" i="1"/>
  <c r="P43" i="1"/>
  <c r="J66" i="1"/>
  <c r="I66" i="1"/>
  <c r="F67" i="1"/>
  <c r="L66" i="1"/>
  <c r="H66" i="1"/>
  <c r="G66" i="1"/>
  <c r="K66" i="1"/>
  <c r="B43" i="1" l="1"/>
  <c r="O44" i="1" s="1"/>
  <c r="J67" i="1"/>
  <c r="I67" i="1"/>
  <c r="H67" i="1"/>
  <c r="G67" i="1"/>
  <c r="F68" i="1"/>
  <c r="K67" i="1"/>
  <c r="L67" i="1"/>
  <c r="N44" i="1" l="1"/>
  <c r="R44" i="1"/>
  <c r="P44" i="1"/>
  <c r="Q44" i="1"/>
  <c r="M44" i="1"/>
  <c r="J68" i="1"/>
  <c r="I68" i="1"/>
  <c r="F69" i="1"/>
  <c r="L68" i="1"/>
  <c r="K68" i="1"/>
  <c r="G68" i="1"/>
  <c r="H68" i="1"/>
  <c r="B44" i="1" l="1"/>
  <c r="R45" i="1" s="1"/>
  <c r="J69" i="1"/>
  <c r="I69" i="1"/>
  <c r="H69" i="1"/>
  <c r="G69" i="1"/>
  <c r="F70" i="1"/>
  <c r="L69" i="1"/>
  <c r="K69" i="1"/>
  <c r="M45" i="1" l="1"/>
  <c r="Q45" i="1"/>
  <c r="N45" i="1"/>
  <c r="O45" i="1"/>
  <c r="P45" i="1"/>
  <c r="H70" i="1"/>
  <c r="L70" i="1"/>
  <c r="K70" i="1"/>
  <c r="F71" i="1"/>
  <c r="I70" i="1"/>
  <c r="G70" i="1"/>
  <c r="J70" i="1"/>
  <c r="B45" i="1" l="1"/>
  <c r="R46" i="1" s="1"/>
  <c r="H71" i="1"/>
  <c r="F72" i="1"/>
  <c r="J71" i="1"/>
  <c r="I71" i="1"/>
  <c r="G71" i="1"/>
  <c r="L71" i="1"/>
  <c r="K71" i="1"/>
  <c r="Q46" i="1" l="1"/>
  <c r="O46" i="1"/>
  <c r="M46" i="1"/>
  <c r="P46" i="1"/>
  <c r="N46" i="1"/>
  <c r="H72" i="1"/>
  <c r="G72" i="1"/>
  <c r="F73" i="1"/>
  <c r="L72" i="1"/>
  <c r="K72" i="1"/>
  <c r="J72" i="1"/>
  <c r="I72" i="1"/>
  <c r="B46" i="1" l="1"/>
  <c r="M47" i="1" s="1"/>
  <c r="H73" i="1"/>
  <c r="J73" i="1"/>
  <c r="I73" i="1"/>
  <c r="L73" i="1"/>
  <c r="F74" i="1"/>
  <c r="K73" i="1"/>
  <c r="G73" i="1"/>
  <c r="Q47" i="1" l="1"/>
  <c r="O47" i="1"/>
  <c r="R47" i="1"/>
  <c r="N47" i="1"/>
  <c r="P47" i="1"/>
  <c r="B47" i="1"/>
  <c r="H74" i="1"/>
  <c r="L74" i="1"/>
  <c r="K74" i="1"/>
  <c r="J74" i="1"/>
  <c r="I74" i="1"/>
  <c r="G74" i="1"/>
  <c r="F75" i="1"/>
  <c r="R48" i="1" l="1"/>
  <c r="P48" i="1"/>
  <c r="M48" i="1"/>
  <c r="N48" i="1"/>
  <c r="Q48" i="1"/>
  <c r="O48" i="1"/>
  <c r="H75" i="1"/>
  <c r="F76" i="1"/>
  <c r="L75" i="1"/>
  <c r="G75" i="1"/>
  <c r="I75" i="1"/>
  <c r="K75" i="1"/>
  <c r="J75" i="1"/>
  <c r="B48" i="1" l="1"/>
  <c r="H76" i="1"/>
  <c r="G76" i="1"/>
  <c r="L76" i="1"/>
  <c r="F77" i="1"/>
  <c r="K76" i="1"/>
  <c r="J76" i="1"/>
  <c r="I76" i="1"/>
  <c r="M49" i="1" l="1"/>
  <c r="P49" i="1"/>
  <c r="Q49" i="1"/>
  <c r="O49" i="1"/>
  <c r="R49" i="1"/>
  <c r="N49" i="1"/>
  <c r="H77" i="1"/>
  <c r="J77" i="1"/>
  <c r="I77" i="1"/>
  <c r="G77" i="1"/>
  <c r="L77" i="1"/>
  <c r="K77" i="1"/>
  <c r="F78" i="1"/>
  <c r="B49" i="1" l="1"/>
  <c r="H78" i="1"/>
  <c r="L78" i="1"/>
  <c r="K78" i="1"/>
  <c r="I78" i="1"/>
  <c r="F79" i="1"/>
  <c r="G78" i="1"/>
  <c r="J78" i="1"/>
  <c r="N50" i="1" l="1"/>
  <c r="M50" i="1"/>
  <c r="R50" i="1"/>
  <c r="O50" i="1"/>
  <c r="Q50" i="1"/>
  <c r="P50" i="1"/>
  <c r="H79" i="1"/>
  <c r="F80" i="1"/>
  <c r="J79" i="1"/>
  <c r="I79" i="1"/>
  <c r="G79" i="1"/>
  <c r="K79" i="1"/>
  <c r="L79" i="1"/>
  <c r="B50" i="1" l="1"/>
  <c r="H80" i="1"/>
  <c r="G80" i="1"/>
  <c r="J80" i="1"/>
  <c r="I80" i="1"/>
  <c r="F81" i="1"/>
  <c r="L80" i="1"/>
  <c r="K80" i="1"/>
  <c r="O51" i="1" l="1"/>
  <c r="N51" i="1"/>
  <c r="M51" i="1"/>
  <c r="Q51" i="1"/>
  <c r="P51" i="1"/>
  <c r="R51" i="1"/>
  <c r="H81" i="1"/>
  <c r="J81" i="1"/>
  <c r="I81" i="1"/>
  <c r="L81" i="1"/>
  <c r="K81" i="1"/>
  <c r="G81" i="1"/>
  <c r="F82" i="1"/>
  <c r="B51" i="1" l="1"/>
  <c r="H82" i="1"/>
  <c r="F83" i="1"/>
  <c r="L82" i="1"/>
  <c r="K82" i="1"/>
  <c r="J82" i="1"/>
  <c r="I82" i="1"/>
  <c r="G82" i="1"/>
  <c r="M52" i="1" l="1"/>
  <c r="O52" i="1"/>
  <c r="Q52" i="1"/>
  <c r="P52" i="1"/>
  <c r="N52" i="1"/>
  <c r="R52" i="1"/>
  <c r="I83" i="1"/>
  <c r="H83" i="1"/>
  <c r="G83" i="1"/>
  <c r="L83" i="1"/>
  <c r="J83" i="1"/>
  <c r="F84" i="1"/>
  <c r="K83" i="1"/>
  <c r="B52" i="1" l="1"/>
  <c r="I84" i="1"/>
  <c r="H84" i="1"/>
  <c r="F85" i="1"/>
  <c r="L84" i="1"/>
  <c r="K84" i="1"/>
  <c r="J84" i="1"/>
  <c r="G84" i="1"/>
  <c r="R53" i="1" l="1"/>
  <c r="Q53" i="1"/>
  <c r="M53" i="1"/>
  <c r="O53" i="1"/>
  <c r="N53" i="1"/>
  <c r="P53" i="1"/>
  <c r="I85" i="1"/>
  <c r="H85" i="1"/>
  <c r="L85" i="1"/>
  <c r="K85" i="1"/>
  <c r="J85" i="1"/>
  <c r="G85" i="1"/>
  <c r="F86" i="1"/>
  <c r="B53" i="1" l="1"/>
  <c r="M54" i="1" s="1"/>
  <c r="I86" i="1"/>
  <c r="H86" i="1"/>
  <c r="F87" i="1"/>
  <c r="L86" i="1"/>
  <c r="K86" i="1"/>
  <c r="J86" i="1"/>
  <c r="G86" i="1"/>
  <c r="O54" i="1" l="1"/>
  <c r="R54" i="1"/>
  <c r="Q54" i="1"/>
  <c r="N54" i="1"/>
  <c r="P54" i="1"/>
  <c r="I87" i="1"/>
  <c r="H87" i="1"/>
  <c r="K87" i="1"/>
  <c r="F88" i="1"/>
  <c r="J87" i="1"/>
  <c r="G87" i="1"/>
  <c r="L87" i="1"/>
  <c r="B54" i="1" l="1"/>
  <c r="O55" i="1" s="1"/>
  <c r="I88" i="1"/>
  <c r="H88" i="1"/>
  <c r="F89" i="1"/>
  <c r="L88" i="1"/>
  <c r="K88" i="1"/>
  <c r="G88" i="1"/>
  <c r="J88" i="1"/>
  <c r="N55" i="1" l="1"/>
  <c r="M55" i="1"/>
  <c r="P55" i="1"/>
  <c r="R55" i="1"/>
  <c r="Q55" i="1"/>
  <c r="I89" i="1"/>
  <c r="H89" i="1"/>
  <c r="L89" i="1"/>
  <c r="K89" i="1"/>
  <c r="F90" i="1"/>
  <c r="J89" i="1"/>
  <c r="G89" i="1"/>
  <c r="B55" i="1" l="1"/>
  <c r="N56" i="1" s="1"/>
  <c r="I90" i="1"/>
  <c r="H90" i="1"/>
  <c r="F91" i="1"/>
  <c r="L90" i="1"/>
  <c r="K90" i="1"/>
  <c r="G90" i="1"/>
  <c r="J90" i="1"/>
  <c r="P56" i="1" l="1"/>
  <c r="Q56" i="1"/>
  <c r="O56" i="1"/>
  <c r="R56" i="1"/>
  <c r="M56" i="1"/>
  <c r="I91" i="1"/>
  <c r="H91" i="1"/>
  <c r="L91" i="1"/>
  <c r="K91" i="1"/>
  <c r="J91" i="1"/>
  <c r="F92" i="1"/>
  <c r="G91" i="1"/>
  <c r="B56" i="1" l="1"/>
  <c r="N57" i="1" s="1"/>
  <c r="I92" i="1"/>
  <c r="H92" i="1"/>
  <c r="F93" i="1"/>
  <c r="L92" i="1"/>
  <c r="K92" i="1"/>
  <c r="J92" i="1"/>
  <c r="G92" i="1"/>
  <c r="R57" i="1" l="1"/>
  <c r="M57" i="1"/>
  <c r="Q57" i="1"/>
  <c r="O57" i="1"/>
  <c r="P57" i="1"/>
  <c r="B57" i="1"/>
  <c r="N58" i="1" s="1"/>
  <c r="I93" i="1"/>
  <c r="H93" i="1"/>
  <c r="F94" i="1"/>
  <c r="J93" i="1"/>
  <c r="G93" i="1"/>
  <c r="K93" i="1"/>
  <c r="L93" i="1"/>
  <c r="M58" i="1" l="1"/>
  <c r="P58" i="1"/>
  <c r="O58" i="1"/>
  <c r="Q58" i="1"/>
  <c r="R58" i="1"/>
  <c r="B58" i="1" s="1"/>
  <c r="R59" i="1" s="1"/>
  <c r="I94" i="1"/>
  <c r="H94" i="1"/>
  <c r="F95" i="1"/>
  <c r="L94" i="1"/>
  <c r="K94" i="1"/>
  <c r="J94" i="1"/>
  <c r="G94" i="1"/>
  <c r="M59" i="1" l="1"/>
  <c r="B59" i="1" s="1"/>
  <c r="Q59" i="1"/>
  <c r="O59" i="1"/>
  <c r="P59" i="1"/>
  <c r="N59" i="1"/>
  <c r="I95" i="1"/>
  <c r="H95" i="1"/>
  <c r="K95" i="1"/>
  <c r="J95" i="1"/>
  <c r="G95" i="1"/>
  <c r="F96" i="1"/>
  <c r="L95" i="1"/>
  <c r="R60" i="1" l="1"/>
  <c r="Q60" i="1"/>
  <c r="N60" i="1"/>
  <c r="M60" i="1"/>
  <c r="P60" i="1"/>
  <c r="O60" i="1"/>
  <c r="I96" i="1"/>
  <c r="H96" i="1"/>
  <c r="F97" i="1"/>
  <c r="L96" i="1"/>
  <c r="K96" i="1"/>
  <c r="J96" i="1"/>
  <c r="G96" i="1"/>
  <c r="B60" i="1" l="1"/>
  <c r="I97" i="1"/>
  <c r="H97" i="1"/>
  <c r="L97" i="1"/>
  <c r="K97" i="1"/>
  <c r="F98" i="1"/>
  <c r="J97" i="1"/>
  <c r="G97" i="1"/>
  <c r="N61" i="1" l="1"/>
  <c r="O61" i="1"/>
  <c r="P61" i="1"/>
  <c r="R61" i="1"/>
  <c r="Q61" i="1"/>
  <c r="M61" i="1"/>
  <c r="I98" i="1"/>
  <c r="H98" i="1"/>
  <c r="F99" i="1"/>
  <c r="L98" i="1"/>
  <c r="K98" i="1"/>
  <c r="J98" i="1"/>
  <c r="G98" i="1"/>
  <c r="B61" i="1" l="1"/>
  <c r="Q62" i="1" s="1"/>
  <c r="I99" i="1"/>
  <c r="H99" i="1"/>
  <c r="G99" i="1"/>
  <c r="J99" i="1"/>
  <c r="F100" i="1"/>
  <c r="K99" i="1"/>
  <c r="L99" i="1"/>
  <c r="O62" i="1" l="1"/>
  <c r="R62" i="1"/>
  <c r="P62" i="1"/>
  <c r="M62" i="1"/>
  <c r="N62" i="1"/>
  <c r="B62" i="1"/>
  <c r="I100" i="1"/>
  <c r="H100" i="1"/>
  <c r="F101" i="1"/>
  <c r="L100" i="1"/>
  <c r="K100" i="1"/>
  <c r="G100" i="1"/>
  <c r="J100" i="1"/>
  <c r="Q63" i="1" l="1"/>
  <c r="O63" i="1"/>
  <c r="N63" i="1"/>
  <c r="P63" i="1"/>
  <c r="M63" i="1"/>
  <c r="R63" i="1"/>
  <c r="I101" i="1"/>
  <c r="H101" i="1"/>
  <c r="L101" i="1"/>
  <c r="K101" i="1"/>
  <c r="F102" i="1"/>
  <c r="J101" i="1"/>
  <c r="G101" i="1"/>
  <c r="B63" i="1" l="1"/>
  <c r="I102" i="1"/>
  <c r="H102" i="1"/>
  <c r="F103" i="1"/>
  <c r="L102" i="1"/>
  <c r="K102" i="1"/>
  <c r="J102" i="1"/>
  <c r="G102" i="1"/>
  <c r="N64" i="1" l="1"/>
  <c r="M64" i="1"/>
  <c r="R64" i="1"/>
  <c r="Q64" i="1"/>
  <c r="O64" i="1"/>
  <c r="P64" i="1"/>
  <c r="I103" i="1"/>
  <c r="H103" i="1"/>
  <c r="K103" i="1"/>
  <c r="F104" i="1"/>
  <c r="J103" i="1"/>
  <c r="G103" i="1"/>
  <c r="L103" i="1"/>
  <c r="B64" i="1" l="1"/>
  <c r="I104" i="1"/>
  <c r="H104" i="1"/>
  <c r="F105" i="1"/>
  <c r="L104" i="1"/>
  <c r="K104" i="1"/>
  <c r="G104" i="1"/>
  <c r="J104" i="1"/>
  <c r="R65" i="1" l="1"/>
  <c r="Q65" i="1"/>
  <c r="P65" i="1"/>
  <c r="M65" i="1"/>
  <c r="N65" i="1"/>
  <c r="O65" i="1"/>
  <c r="I105" i="1"/>
  <c r="H105" i="1"/>
  <c r="G105" i="1"/>
  <c r="F106" i="1"/>
  <c r="J105" i="1"/>
  <c r="K105" i="1"/>
  <c r="L105" i="1"/>
  <c r="B65" i="1" l="1"/>
  <c r="I106" i="1"/>
  <c r="H106" i="1"/>
  <c r="F107" i="1"/>
  <c r="L106" i="1"/>
  <c r="K106" i="1"/>
  <c r="G106" i="1"/>
  <c r="J106" i="1"/>
  <c r="M66" i="1" l="1"/>
  <c r="P66" i="1"/>
  <c r="R66" i="1"/>
  <c r="Q66" i="1"/>
  <c r="N66" i="1"/>
  <c r="O66" i="1"/>
  <c r="I107" i="1"/>
  <c r="H107" i="1"/>
  <c r="L107" i="1"/>
  <c r="K107" i="1"/>
  <c r="J107" i="1"/>
  <c r="G107" i="1"/>
  <c r="F108" i="1"/>
  <c r="B66" i="1" l="1"/>
  <c r="I108" i="1"/>
  <c r="H108" i="1"/>
  <c r="F109" i="1"/>
  <c r="L108" i="1"/>
  <c r="K108" i="1"/>
  <c r="J108" i="1"/>
  <c r="G108" i="1"/>
  <c r="Q67" i="1" l="1"/>
  <c r="N67" i="1"/>
  <c r="O67" i="1"/>
  <c r="M67" i="1"/>
  <c r="R67" i="1"/>
  <c r="P67" i="1"/>
  <c r="I109" i="1"/>
  <c r="H109" i="1"/>
  <c r="F110" i="1"/>
  <c r="J109" i="1"/>
  <c r="G109" i="1"/>
  <c r="L109" i="1"/>
  <c r="K109" i="1"/>
  <c r="B67" i="1" l="1"/>
  <c r="I110" i="1"/>
  <c r="H110" i="1"/>
  <c r="F111" i="1"/>
  <c r="L110" i="1"/>
  <c r="K110" i="1"/>
  <c r="J110" i="1"/>
  <c r="G110" i="1"/>
  <c r="R68" i="1" l="1"/>
  <c r="Q68" i="1"/>
  <c r="N68" i="1"/>
  <c r="M68" i="1"/>
  <c r="P68" i="1"/>
  <c r="O68" i="1"/>
  <c r="I111" i="1"/>
  <c r="H111" i="1"/>
  <c r="L111" i="1"/>
  <c r="K111" i="1"/>
  <c r="J111" i="1"/>
  <c r="G111" i="1"/>
  <c r="B68" i="1" l="1"/>
  <c r="Q69" i="1" l="1"/>
  <c r="N69" i="1"/>
  <c r="O69" i="1"/>
  <c r="M69" i="1"/>
  <c r="P69" i="1"/>
  <c r="R69" i="1"/>
  <c r="B69" i="1" l="1"/>
  <c r="O70" i="1" l="1"/>
  <c r="N70" i="1"/>
  <c r="R70" i="1"/>
  <c r="M70" i="1"/>
  <c r="P70" i="1"/>
  <c r="Q70" i="1"/>
  <c r="B70" i="1" l="1"/>
  <c r="P71" i="1" s="1"/>
  <c r="O71" i="1" l="1"/>
  <c r="Q71" i="1"/>
  <c r="R71" i="1"/>
  <c r="M71" i="1"/>
  <c r="N71" i="1"/>
  <c r="B71" i="1" l="1"/>
  <c r="M72" i="1" s="1"/>
  <c r="N72" i="1" l="1"/>
  <c r="R72" i="1"/>
  <c r="O72" i="1"/>
  <c r="Q72" i="1"/>
  <c r="P72" i="1"/>
  <c r="B72" i="1" l="1"/>
  <c r="N73" i="1" s="1"/>
  <c r="P73" i="1"/>
  <c r="Q73" i="1"/>
  <c r="R73" i="1"/>
  <c r="O73" i="1" l="1"/>
  <c r="M73" i="1"/>
  <c r="B73" i="1"/>
  <c r="R74" i="1" l="1"/>
  <c r="O74" i="1"/>
  <c r="N74" i="1"/>
  <c r="Q74" i="1"/>
  <c r="P74" i="1"/>
  <c r="M74" i="1"/>
  <c r="B74" i="1" l="1"/>
  <c r="M75" i="1" l="1"/>
  <c r="Q75" i="1"/>
  <c r="R75" i="1"/>
  <c r="P75" i="1"/>
  <c r="O75" i="1"/>
  <c r="N75" i="1"/>
  <c r="B75" i="1" l="1"/>
  <c r="Q76" i="1" l="1"/>
  <c r="O76" i="1"/>
  <c r="M76" i="1"/>
  <c r="N76" i="1"/>
  <c r="R76" i="1"/>
  <c r="P76" i="1"/>
  <c r="B76" i="1" l="1"/>
  <c r="N77" i="1" l="1"/>
  <c r="R77" i="1"/>
  <c r="Q77" i="1"/>
  <c r="M77" i="1"/>
  <c r="O77" i="1"/>
  <c r="P77" i="1"/>
  <c r="B77" i="1" l="1"/>
  <c r="P78" i="1" l="1"/>
  <c r="Q78" i="1"/>
  <c r="N78" i="1"/>
  <c r="R78" i="1"/>
  <c r="O78" i="1"/>
  <c r="M78" i="1"/>
  <c r="B78" i="1" l="1"/>
  <c r="R79" i="1" l="1"/>
  <c r="Q79" i="1"/>
  <c r="M79" i="1"/>
  <c r="P79" i="1"/>
  <c r="O79" i="1"/>
  <c r="N79" i="1"/>
  <c r="B79" i="1" l="1"/>
  <c r="P80" i="1" s="1"/>
  <c r="R80" i="1" l="1"/>
  <c r="M80" i="1"/>
  <c r="N80" i="1"/>
  <c r="O80" i="1"/>
  <c r="Q80" i="1"/>
  <c r="B80" i="1" l="1"/>
  <c r="N81" i="1" s="1"/>
  <c r="P81" i="1" l="1"/>
  <c r="O81" i="1"/>
  <c r="R81" i="1"/>
  <c r="Q81" i="1"/>
  <c r="M81" i="1"/>
  <c r="B81" i="1"/>
  <c r="Q82" i="1" s="1"/>
  <c r="P82" i="1" l="1"/>
  <c r="R82" i="1"/>
  <c r="M82" i="1"/>
  <c r="N82" i="1"/>
  <c r="O82" i="1"/>
  <c r="B82" i="1" l="1"/>
  <c r="R83" i="1" s="1"/>
  <c r="M83" i="1" l="1"/>
  <c r="P83" i="1"/>
  <c r="N83" i="1"/>
  <c r="Q83" i="1"/>
  <c r="O83" i="1"/>
  <c r="B83" i="1" l="1"/>
  <c r="N84" i="1" s="1"/>
  <c r="M84" i="1" l="1"/>
  <c r="Q84" i="1"/>
  <c r="P84" i="1"/>
  <c r="R84" i="1"/>
  <c r="O84" i="1"/>
  <c r="B84" i="1" l="1"/>
  <c r="Q85" i="1" s="1"/>
  <c r="R85" i="1" l="1"/>
  <c r="O85" i="1"/>
  <c r="M85" i="1"/>
  <c r="P85" i="1"/>
  <c r="N85" i="1"/>
  <c r="B85" i="1" l="1"/>
  <c r="N86" i="1" s="1"/>
  <c r="P86" i="1" l="1"/>
  <c r="O86" i="1"/>
  <c r="M86" i="1"/>
  <c r="Q86" i="1"/>
  <c r="R86" i="1"/>
  <c r="B86" i="1"/>
  <c r="M87" i="1" l="1"/>
  <c r="O87" i="1"/>
  <c r="R87" i="1"/>
  <c r="P87" i="1"/>
  <c r="N87" i="1"/>
  <c r="Q87" i="1"/>
  <c r="B87" i="1" l="1"/>
  <c r="M88" i="1" l="1"/>
  <c r="R88" i="1"/>
  <c r="O88" i="1"/>
  <c r="Q88" i="1"/>
  <c r="P88" i="1"/>
  <c r="N88" i="1"/>
  <c r="B88" i="1" l="1"/>
  <c r="O89" i="1" l="1"/>
  <c r="N89" i="1"/>
  <c r="M89" i="1"/>
  <c r="P89" i="1"/>
  <c r="Q89" i="1"/>
  <c r="R89" i="1"/>
  <c r="B89" i="1" l="1"/>
  <c r="P90" i="1" s="1"/>
  <c r="Q90" i="1" l="1"/>
  <c r="M90" i="1"/>
  <c r="R90" i="1"/>
  <c r="N90" i="1"/>
  <c r="O90" i="1"/>
  <c r="B90" i="1"/>
  <c r="O91" i="1" s="1"/>
  <c r="Q91" i="1" l="1"/>
  <c r="M91" i="1"/>
  <c r="R91" i="1"/>
  <c r="P91" i="1"/>
  <c r="N91" i="1"/>
  <c r="B91" i="1" l="1"/>
  <c r="O92" i="1" s="1"/>
  <c r="M92" i="1" l="1"/>
  <c r="P92" i="1"/>
  <c r="N92" i="1"/>
  <c r="R92" i="1"/>
  <c r="Q92" i="1"/>
  <c r="B92" i="1"/>
  <c r="O93" i="1" s="1"/>
  <c r="P93" i="1" l="1"/>
  <c r="N93" i="1"/>
  <c r="M93" i="1"/>
  <c r="Q93" i="1"/>
  <c r="R93" i="1"/>
  <c r="B93" i="1" l="1"/>
  <c r="R94" i="1" l="1"/>
  <c r="P94" i="1"/>
  <c r="Q94" i="1"/>
  <c r="O94" i="1"/>
  <c r="N94" i="1"/>
  <c r="M94" i="1"/>
  <c r="B94" i="1" l="1"/>
  <c r="O95" i="1" l="1"/>
  <c r="R95" i="1"/>
  <c r="M95" i="1"/>
  <c r="Q95" i="1"/>
  <c r="P95" i="1"/>
  <c r="N95" i="1"/>
  <c r="B95" i="1" l="1"/>
  <c r="Q96" i="1" s="1"/>
  <c r="R96" i="1" l="1"/>
  <c r="P96" i="1"/>
  <c r="N96" i="1"/>
  <c r="M96" i="1"/>
  <c r="O96" i="1"/>
  <c r="B96" i="1" l="1"/>
  <c r="O97" i="1" s="1"/>
  <c r="P97" i="1" l="1"/>
  <c r="N97" i="1"/>
  <c r="Q97" i="1"/>
  <c r="R97" i="1"/>
  <c r="M97" i="1"/>
  <c r="B97" i="1"/>
  <c r="O98" i="1" l="1"/>
  <c r="R98" i="1"/>
  <c r="Q98" i="1"/>
  <c r="P98" i="1"/>
  <c r="N98" i="1"/>
  <c r="M98" i="1"/>
  <c r="B98" i="1" l="1"/>
  <c r="N99" i="1" l="1"/>
  <c r="M99" i="1"/>
  <c r="Q99" i="1"/>
  <c r="O99" i="1"/>
  <c r="P99" i="1"/>
  <c r="R99" i="1"/>
  <c r="B99" i="1" l="1"/>
  <c r="R100" i="1" l="1"/>
  <c r="O100" i="1"/>
  <c r="M100" i="1"/>
  <c r="N100" i="1"/>
  <c r="Q100" i="1"/>
  <c r="P100" i="1"/>
  <c r="B100" i="1" l="1"/>
  <c r="N101" i="1" l="1"/>
  <c r="M101" i="1"/>
  <c r="P101" i="1"/>
  <c r="Q101" i="1"/>
  <c r="O101" i="1"/>
  <c r="R101" i="1"/>
  <c r="B101" i="1" l="1"/>
  <c r="R102" i="1" l="1"/>
  <c r="O102" i="1"/>
  <c r="P102" i="1"/>
  <c r="M102" i="1"/>
  <c r="Q102" i="1"/>
  <c r="N102" i="1"/>
  <c r="B102" i="1" l="1"/>
  <c r="P103" i="1" l="1"/>
  <c r="Q103" i="1"/>
  <c r="R103" i="1"/>
  <c r="O103" i="1"/>
  <c r="M103" i="1"/>
  <c r="N103" i="1"/>
  <c r="B103" i="1" l="1"/>
  <c r="O104" i="1" s="1"/>
  <c r="M104" i="1" l="1"/>
  <c r="P104" i="1"/>
  <c r="Q104" i="1"/>
  <c r="N104" i="1"/>
  <c r="R104" i="1"/>
  <c r="B104" i="1" l="1"/>
  <c r="Q105" i="1" l="1"/>
  <c r="O105" i="1"/>
  <c r="P105" i="1"/>
  <c r="N105" i="1"/>
  <c r="M105" i="1"/>
  <c r="B105" i="1" s="1"/>
  <c r="R105" i="1"/>
  <c r="N106" i="1" l="1"/>
  <c r="M106" i="1"/>
  <c r="Q106" i="1"/>
  <c r="P106" i="1"/>
  <c r="R106" i="1"/>
  <c r="O106" i="1"/>
  <c r="B106" i="1" l="1"/>
  <c r="O107" i="1" l="1"/>
  <c r="P107" i="1"/>
  <c r="N107" i="1"/>
  <c r="Q107" i="1"/>
  <c r="R107" i="1"/>
  <c r="M107" i="1"/>
  <c r="B107" i="1" s="1"/>
  <c r="N108" i="1" s="1"/>
  <c r="O108" i="1" l="1"/>
  <c r="M108" i="1"/>
  <c r="Q108" i="1"/>
  <c r="P108" i="1"/>
  <c r="R108" i="1"/>
  <c r="B108" i="1" l="1"/>
  <c r="M109" i="1" s="1"/>
  <c r="P109" i="1" l="1"/>
  <c r="Q109" i="1"/>
  <c r="R109" i="1"/>
  <c r="O109" i="1"/>
  <c r="N109" i="1"/>
  <c r="B109" i="1" l="1"/>
  <c r="Q110" i="1" s="1"/>
  <c r="P110" i="1" l="1"/>
  <c r="R110" i="1"/>
  <c r="M110" i="1"/>
  <c r="N110" i="1"/>
  <c r="O110" i="1"/>
  <c r="B110" i="1"/>
  <c r="M111" i="1" s="1"/>
  <c r="O111" i="1" l="1"/>
  <c r="P111" i="1"/>
  <c r="Q111" i="1"/>
  <c r="N111" i="1"/>
  <c r="R111" i="1"/>
  <c r="B111" i="1"/>
</calcChain>
</file>

<file path=xl/sharedStrings.xml><?xml version="1.0" encoding="utf-8"?>
<sst xmlns="http://schemas.openxmlformats.org/spreadsheetml/2006/main" count="219" uniqueCount="149">
  <si>
    <t>SISTEMA DE ROTACIÓN DE INSTALADORES</t>
  </si>
  <si>
    <t>ORDEN DE PRIORIDAD</t>
  </si>
  <si>
    <t>P1</t>
  </si>
  <si>
    <t>Daniel</t>
  </si>
  <si>
    <t>P2</t>
  </si>
  <si>
    <t>Jimmy</t>
  </si>
  <si>
    <t>P3</t>
  </si>
  <si>
    <t>Cristian</t>
  </si>
  <si>
    <t>P4</t>
  </si>
  <si>
    <t>Bob</t>
  </si>
  <si>
    <t>P5</t>
  </si>
  <si>
    <t>Kafw</t>
  </si>
  <si>
    <t>P6</t>
  </si>
  <si>
    <t>Kyle</t>
  </si>
  <si>
    <t>Trabajo</t>
  </si>
  <si>
    <t>Ofrecido a</t>
  </si>
  <si>
    <t>Respuesta</t>
  </si>
  <si>
    <t>Tipo</t>
  </si>
  <si>
    <t>Notas</t>
  </si>
  <si>
    <t>Pos</t>
  </si>
  <si>
    <t>D-SI</t>
  </si>
  <si>
    <t>J-SI</t>
  </si>
  <si>
    <t>C-SI</t>
  </si>
  <si>
    <t>B-SI</t>
  </si>
  <si>
    <t>K-SI</t>
  </si>
  <si>
    <t>Ky-SI</t>
  </si>
  <si>
    <t>D-R</t>
  </si>
  <si>
    <t>J-R</t>
  </si>
  <si>
    <t>C-R</t>
  </si>
  <si>
    <t>B-R</t>
  </si>
  <si>
    <t>K-R</t>
  </si>
  <si>
    <t>Ky-R</t>
  </si>
  <si>
    <t>Trabajo 1: siempre P1 (Daniel)</t>
  </si>
  <si>
    <t>INSTRUCCIONES DE USO:</t>
  </si>
  <si>
    <t>1. Escribir SI o NO en las celdas amarillas (columna "Respuesta")</t>
  </si>
  <si>
    <t>2. Completar EN ORDEN de arriba hacia abajo - NO saltar trabajos</t>
  </si>
  <si>
    <t>3. El sistema automáticamente calculará a quién ofrecer cada trabajo</t>
  </si>
  <si>
    <t>REGLAS DEL SISTEMA:</t>
  </si>
  <si>
    <t>• Orden fijo: Daniel→Jimmy→Cristian→Bob→Kafw→Kyle→(vuelve a Daniel)</t>
  </si>
  <si>
    <t>• SI alguien dice SI → siguiente trabajo va al siguiente en orden</t>
  </si>
  <si>
    <t>• SI alguien dice NO → buscar reemplazo</t>
  </si>
  <si>
    <t>REGLAS DE REEMPLAZO:</t>
  </si>
  <si>
    <t>• Solo pueden reemplazar quienes dijeron SI a su propio trabajo</t>
  </si>
  <si>
    <t>• Cada persona puede hacer máximo 1 reemplazo (SI o NO cuenta como usado)</t>
  </si>
  <si>
    <t>• Quienes dijeron NO a su trabajo NO pueden reemplazar</t>
  </si>
  <si>
    <t>• Quienes rechazaron hacer reemplazo (dijeron NO) quedan descartados</t>
  </si>
  <si>
    <t>• Se busca en orden: P1→P2→P3→P4→P5→P6</t>
  </si>
  <si>
    <t>• Si todos agotaron reemplazos → vuelve al orden normal</t>
  </si>
  <si>
    <t>IMPORTANTE: El orden NUNCA se rompe, siempre sigue P1→P2→P3→P4→P5→P6</t>
  </si>
  <si>
    <t>no</t>
  </si>
  <si>
    <t>si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</si>
  <si>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</si>
  <si>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</si>
  <si>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</si>
  <si>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</si>
  <si>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</si>
  <si>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</si>
  <si>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</si>
  <si>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</si>
  <si>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</si>
  <si>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</si>
  <si>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</si>
  <si>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</si>
  <si>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</si>
  <si>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</si>
  <si>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</si>
  <si>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</si>
  <si>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</si>
  <si>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</si>
  <si>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</si>
  <si>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P1 DANIEL</t>
  </si>
  <si>
    <t>P2 JIMMY</t>
  </si>
  <si>
    <t>P3 CRISTIAN</t>
  </si>
  <si>
    <t>P4 BOB</t>
  </si>
  <si>
    <t xml:space="preserve">P5 KAWF </t>
  </si>
  <si>
    <t xml:space="preserve">P6 KYLE 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</si>
  <si>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</si>
  <si>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</si>
  <si>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</si>
  <si>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</si>
  <si>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</si>
  <si>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</si>
  <si>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</si>
  <si>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</si>
  <si>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</si>
  <si>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</si>
  <si>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</si>
  <si>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SI</t>
  </si>
  <si>
    <t xml:space="preserve">NO </t>
  </si>
  <si>
    <t>LOGICA A: DANIEL DISPONIBLE. ACEPTA</t>
  </si>
  <si>
    <t>R1: 1/1</t>
  </si>
  <si>
    <t>CRISTIAN TRABAJA</t>
  </si>
  <si>
    <t>BOB TRABAJA</t>
  </si>
  <si>
    <t>KAWF TRABAJA</t>
  </si>
  <si>
    <t>KYLE TRABAJA</t>
  </si>
  <si>
    <t>DANIEL TRABAJA</t>
  </si>
  <si>
    <t>JIMMY TRABAJA</t>
  </si>
  <si>
    <t>P1-R1: 0/1</t>
  </si>
  <si>
    <t>P3-R2: 0/1</t>
  </si>
  <si>
    <t xml:space="preserve">SI </t>
  </si>
  <si>
    <t>P4-R3: 0/1</t>
  </si>
  <si>
    <t>LOGICA A: CRISTIAN DISPONIBLE. ACEPTA</t>
  </si>
  <si>
    <t>LOGICA A: BOB DISPONIBLE. ACEPTA</t>
  </si>
  <si>
    <t>esto no habilita a futuro reemplazo.</t>
  </si>
  <si>
    <t>LOGICA B: JIMMY DISPONIBLE POR ORDEN DE PRIORIDAD. ACEPTA</t>
  </si>
  <si>
    <t>P5-R7:0/1</t>
  </si>
  <si>
    <t>P6-R8:0/1</t>
  </si>
  <si>
    <t>RONDA 2</t>
  </si>
  <si>
    <t>P2-R10 :0/2</t>
  </si>
  <si>
    <t>P2-R4: 0/1</t>
  </si>
  <si>
    <t>JIMMY LO REEMPLAZA POR LOGICA A. Y USA EL R4.</t>
  </si>
  <si>
    <t>CRISTIAN LO REEMPLAZA POR LOGICA A. Y USA R5.</t>
  </si>
  <si>
    <t>BOB REEMPLAZA POR LOGICA A. Y USA R6.</t>
  </si>
  <si>
    <t>RONDA3</t>
  </si>
  <si>
    <t>RONDA 4</t>
  </si>
  <si>
    <t>RONDA 5</t>
  </si>
  <si>
    <t>RONDA 1</t>
  </si>
  <si>
    <t>RONDAS</t>
  </si>
  <si>
    <t>TRABAJOS</t>
  </si>
  <si>
    <t>INSTALADORES</t>
  </si>
  <si>
    <t>SI O NO</t>
  </si>
  <si>
    <t>SITUACION</t>
  </si>
  <si>
    <t>SISTEMA DE REEMPLAZO</t>
  </si>
  <si>
    <t>KAWF RECHAZA LA OPORTUNIDAD DE REEMPLAZO, POR LOGICA A, Y ASI TAMBIEN PIERDE SU R7. AUTOMATICAMENTE SE LE OFRECE A R8 QUE ES KYLE Y ACEPTA</t>
  </si>
  <si>
    <t>P5-R7:1/1 // P6-R8:1/1</t>
  </si>
  <si>
    <t>SE LE OFRECE A DANI QUE ES R9, POR LOGICA A, ACEPTA.</t>
  </si>
  <si>
    <t>SE LE OFRECE A JIMMY POR LOGICA A Y USA EL R10.</t>
  </si>
  <si>
    <t>P2-R4:1/2 Y AUTOMATICAMENTE P2 TIENEEN LA LISTA EL R10.</t>
  </si>
  <si>
    <t>P2-R10 : 2/2</t>
  </si>
  <si>
    <t>SE LE OFRECE A KAWF POR LOGICA A Y USA SU R11.</t>
  </si>
  <si>
    <t>SE LE OFRECE A KYLE POR LA LOGICA B ORDEN DE PRIORIDAD. KYLE RECHAZA, ESTO NO AFECTA EN NADA. Y SE LE OFRECE A DANI SIGUIENTE EN EL ORDEN DE PRIORIDAD Y DANI ACEPTA</t>
  </si>
  <si>
    <t>P6-R12:1/2</t>
  </si>
  <si>
    <t>SE LE OFRECE A KYLE POR LOGICA A YA QUE ES EL R12 POR HABER ACEPTADO SU TRABAJO PERSONAL. Y ACEPTA</t>
  </si>
  <si>
    <t>P6-R12:2/2</t>
  </si>
  <si>
    <t>P2-R13: 2/3</t>
  </si>
  <si>
    <t>P3-R5: 1/2</t>
  </si>
  <si>
    <t>P4-R6: 1/2</t>
  </si>
  <si>
    <t>P1-R9:1/2</t>
  </si>
  <si>
    <t>P3-R2: 1/1</t>
  </si>
  <si>
    <t>P4-R3:1/1</t>
  </si>
  <si>
    <t>P4-R11: 1/3</t>
  </si>
  <si>
    <t>P3-R5:2/2</t>
  </si>
  <si>
    <t>P4-R6:2/3</t>
  </si>
  <si>
    <t>P4-R11:3/3</t>
  </si>
  <si>
    <t>P1-R9:2/2</t>
  </si>
  <si>
    <t>P3-R14:2/3</t>
  </si>
  <si>
    <t>P4-R15:3/4</t>
  </si>
  <si>
    <t>P5-R16:1/2</t>
  </si>
  <si>
    <t>P6-R17:1/2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</si>
</sst>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1"/>
      <name val="Cambria"/>
      <charset val="1"/>
    </font>
    <font>
      <b/>
      <sz val="11"/>
      <color rgb="FF0000FF"/>
      <name val="Cambria"/>
      <charset val="1"/>
    </font>
    <font>
      <b/>
      <sz val="11"/>
      <color rgb="FFFFFFFF"/>
      <name val="Cambria"/>
      <charset val="1"/>
    </font>
    <font>
      <b/>
      <sz val="7"/>
      <name val="Cambria"/>
      <charset val="1"/>
    </font>
    <font>
      <b/>
      <sz val="12"/>
      <color rgb="FFC00000"/>
      <name val="Cambria"/>
      <charset val="1"/>
    </font>
    <font>
      <b/>
      <sz val="10"/>
      <name val="Cambria"/>
      <charset val="1"/>
    </font>
    <font>
      <sz val="10"/>
      <name val="Cambria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E7E6E6"/>
        <bgColor rgb="FFFFFFFF"/>
      </patternFill>
    </fill>
    <fill>
      <patternFill patternType="solid">
        <fgColor rgb="FF366092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/>
    <xf numFmtId="0" fontId="6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FFC0C-4282-4CD7-8126-8A6DD60EA125}" name="Tabla1" displayName="Tabla1" ref="A1:F1048576" totalsRowShown="0">
  <autoFilter ref="A1:F1048576" xr:uid="{D28FFC0C-4282-4CD7-8126-8A6DD60EA125}"/>
  <tableColumns count="6">
    <tableColumn id="1" xr3:uid="{11F4810B-4A1B-426D-A164-D1791C007836}" name="RONDAS"/>
    <tableColumn id="2" xr3:uid="{26C4D513-D40E-40B9-8DC6-D88D1506215F}" name="TRABAJOS"/>
    <tableColumn id="3" xr3:uid="{E8659D31-D713-4496-8829-C91A31C617F3}" name="INSTALADORES"/>
    <tableColumn id="4" xr3:uid="{92D9A1D5-4C61-4AB3-8054-D3D8866DC5C0}" name="SI O NO"/>
    <tableColumn id="5" xr3:uid="{428402FE-7BA8-42DE-AE0D-594350234EC7}" name="SITUACION"/>
    <tableColumn id="6" xr3:uid="{8C297BDE-7C2D-4B48-BFE7-3F3E6AFDDD23}" name="SISTEMA DE REEMPLAZ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3"/>
  <sheetViews>
    <sheetView zoomScaleNormal="100" workbookViewId="0">
      <selection activeCell="C21" sqref="C21"/>
    </sheetView>
  </sheetViews>
  <sheetFormatPr baseColWidth="10" defaultColWidth="8.7109375" defaultRowHeight="15" x14ac:dyDescent="0.25"/>
  <cols>
    <col min="1" max="1" width="9" customWidth="1"/>
    <col min="2" max="2" width="16" customWidth="1"/>
    <col min="3" max="3" width="11" customWidth="1"/>
    <col min="4" max="4" width="13" customWidth="1"/>
    <col min="5" max="5" width="55" customWidth="1"/>
    <col min="6" max="18" width="3" hidden="1" customWidth="1"/>
  </cols>
  <sheetData>
    <row r="1" spans="1:18" ht="24.75" customHeight="1" x14ac:dyDescent="0.25">
      <c r="A1" s="6" t="s">
        <v>0</v>
      </c>
      <c r="B1" s="6"/>
      <c r="C1" s="6"/>
      <c r="D1" s="6"/>
      <c r="E1" s="6"/>
    </row>
    <row r="3" spans="1:18" x14ac:dyDescent="0.25">
      <c r="A3" s="5" t="s">
        <v>1</v>
      </c>
      <c r="B3" s="5"/>
    </row>
    <row r="4" spans="1:18" x14ac:dyDescent="0.25">
      <c r="A4" s="7" t="s">
        <v>2</v>
      </c>
      <c r="B4" t="s">
        <v>3</v>
      </c>
    </row>
    <row r="5" spans="1:18" x14ac:dyDescent="0.25">
      <c r="A5" s="7" t="s">
        <v>4</v>
      </c>
      <c r="B5" t="s">
        <v>5</v>
      </c>
    </row>
    <row r="6" spans="1:18" x14ac:dyDescent="0.25">
      <c r="A6" s="7" t="s">
        <v>6</v>
      </c>
      <c r="B6" t="s">
        <v>7</v>
      </c>
    </row>
    <row r="7" spans="1:18" x14ac:dyDescent="0.25">
      <c r="A7" s="7" t="s">
        <v>8</v>
      </c>
      <c r="B7" t="s">
        <v>9</v>
      </c>
    </row>
    <row r="8" spans="1:18" x14ac:dyDescent="0.25">
      <c r="A8" s="7" t="s">
        <v>10</v>
      </c>
      <c r="B8" t="s">
        <v>11</v>
      </c>
    </row>
    <row r="9" spans="1:18" x14ac:dyDescent="0.25">
      <c r="A9" s="7" t="s">
        <v>12</v>
      </c>
      <c r="B9" t="s">
        <v>13</v>
      </c>
    </row>
    <row r="11" spans="1:18" ht="21.75" customHeight="1" x14ac:dyDescent="0.25">
      <c r="A11" s="8" t="s">
        <v>14</v>
      </c>
      <c r="B11" s="8" t="s">
        <v>15</v>
      </c>
      <c r="C11" s="8" t="s">
        <v>16</v>
      </c>
      <c r="D11" s="8" t="s">
        <v>17</v>
      </c>
      <c r="E11" s="8" t="s">
        <v>18</v>
      </c>
      <c r="F11" s="9" t="s">
        <v>19</v>
      </c>
      <c r="G11" s="9" t="s">
        <v>20</v>
      </c>
      <c r="H11" s="9" t="s">
        <v>21</v>
      </c>
      <c r="I11" s="9" t="s">
        <v>22</v>
      </c>
      <c r="J11" s="9" t="s">
        <v>23</v>
      </c>
      <c r="K11" s="9" t="s">
        <v>24</v>
      </c>
      <c r="L11" s="9" t="s">
        <v>25</v>
      </c>
      <c r="M11" s="9" t="s">
        <v>26</v>
      </c>
      <c r="N11" s="9" t="s">
        <v>27</v>
      </c>
      <c r="O11" s="9" t="s">
        <v>28</v>
      </c>
      <c r="P11" s="9" t="s">
        <v>29</v>
      </c>
      <c r="Q11" s="9" t="s">
        <v>30</v>
      </c>
      <c r="R11" s="9" t="s">
        <v>31</v>
      </c>
    </row>
    <row r="12" spans="1:18" x14ac:dyDescent="0.25">
      <c r="A12">
        <v>1</v>
      </c>
      <c r="B12" t="str">
        <f>$B$4</f>
        <v>Daniel</v>
      </c>
      <c r="C12" s="10" t="s">
        <v>50</v>
      </c>
      <c r="D12" t="str">
        <f>IF(C12="SI","NORMAL",IF(C12="NO","RECHAZADO",""))</f>
        <v>NORMAL</v>
      </c>
      <c r="E12" t="s">
        <v>32</v>
      </c>
      <c r="F12">
        <v>1</v>
      </c>
      <c r="G12">
        <f>IF(C12="SI",1,0)</f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v>2</v>
      </c>
      <c r="B13" t="str">
        <f t="shared" ref="B13:B44" si="0">IF(C12="SI",INDEX($B$4:$B$9,F13),
IF(AND(G13=1,M13=0),$B$4,
IF(AND(H13=1,N13=0),$B$5,
IF(AND(I13=1,O13=0),$B$6,
IF(AND(J13=1,P13=0),$B$7,
IF(AND(K13=1,Q13=0),$B$8,
IF(AND(L13=1,R13=0),$B$9,
INDEX($B$4:$B$9,F13))))))))</f>
        <v>Jimmy</v>
      </c>
      <c r="C13" s="10" t="s">
        <v>49</v>
      </c>
      <c r="D13" t="str">
        <f t="shared" ref="D13:D44" si="1">IF(C13="","",IF(C12="NO",IF(C13="SI","REEMPLAZO","REEMPLAZO"),IF(C13="SI","NORMAL","RECHAZADO")))</f>
        <v>RECHAZADO</v>
      </c>
      <c r="E13" s="11" t="str">
        <f t="shared" ref="E13:E44" si="2">IF(C12="SI","Siguiente en orden",IF(C12="NO","Buscando reemplazo...","Completar trabajo anterior"))</f>
        <v>Siguiente en orden</v>
      </c>
      <c r="F13">
        <f t="shared" ref="F13:F44" si="3">IF(OR(C12="SI"),IF(F12=6,1,F12+1),F12)</f>
        <v>2</v>
      </c>
      <c r="G13">
        <f t="shared" ref="G13:G44" si="4">IF(AND(F13=1,C13="SI",D13="NORMAL"),1,G12)</f>
        <v>1</v>
      </c>
      <c r="H13">
        <f t="shared" ref="H13:H44" si="5">IF(AND(F13=2,C13="SI",D13="NORMAL"),1,H12)</f>
        <v>0</v>
      </c>
      <c r="I13">
        <f t="shared" ref="I13:I44" si="6">IF(AND(F13=3,C13="SI",D13="NORMAL"),1,I12)</f>
        <v>0</v>
      </c>
      <c r="J13">
        <f t="shared" ref="J13:J44" si="7">IF(AND(F13=4,C13="SI",D13="NORMAL"),1,J12)</f>
        <v>0</v>
      </c>
      <c r="K13">
        <f t="shared" ref="K13:K44" si="8">IF(AND(F13=5,C13="SI",D13="NORMAL"),1,K12)</f>
        <v>0</v>
      </c>
      <c r="L13">
        <f t="shared" ref="L13:L44" si="9">IF(AND(F13=6,C13="SI",D13="NORMAL"),1,L12)</f>
        <v>0</v>
      </c>
      <c r="M13">
        <f t="shared" ref="M13:M44" si="10">IF(AND(B12=$B$4,D12="REEMPLAZO"),1,M12)</f>
        <v>0</v>
      </c>
      <c r="N13">
        <f t="shared" ref="N13:N44" si="11">IF(AND(B12=$B$5,D12="REEMPLAZO"),1,N12)</f>
        <v>0</v>
      </c>
      <c r="O13">
        <f t="shared" ref="O13:O44" si="12">IF(AND(B12=$B$6,D12="REEMPLAZO"),1,O12)</f>
        <v>0</v>
      </c>
      <c r="P13">
        <f t="shared" ref="P13:P44" si="13">IF(AND(B12=$B$7,D12="REEMPLAZO"),1,P12)</f>
        <v>0</v>
      </c>
      <c r="Q13">
        <f t="shared" ref="Q13:Q44" si="14">IF(AND(B12=$B$8,D12="REEMPLAZO"),1,Q12)</f>
        <v>0</v>
      </c>
      <c r="R13">
        <f t="shared" ref="R13:R44" si="15">IF(AND(B12=$B$9,D12="REEMPLAZO"),1,R12)</f>
        <v>0</v>
      </c>
    </row>
    <row r="14" spans="1:18" x14ac:dyDescent="0.25">
      <c r="A14">
        <v>3</v>
      </c>
      <c r="B14" t="str">
        <f t="shared" si="0"/>
        <v>Daniel</v>
      </c>
      <c r="C14" s="10" t="s">
        <v>50</v>
      </c>
      <c r="D14" t="str">
        <f t="shared" si="1"/>
        <v>REEMPLAZO</v>
      </c>
      <c r="E14" s="11" t="str">
        <f t="shared" si="2"/>
        <v>Buscando reemplazo...</v>
      </c>
      <c r="F14">
        <f t="shared" si="3"/>
        <v>2</v>
      </c>
      <c r="G14">
        <f t="shared" si="4"/>
        <v>1</v>
      </c>
      <c r="H14">
        <f t="shared" si="5"/>
        <v>0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0</v>
      </c>
      <c r="N14">
        <f t="shared" si="11"/>
        <v>0</v>
      </c>
      <c r="O14">
        <f t="shared" si="12"/>
        <v>0</v>
      </c>
      <c r="P14">
        <f t="shared" si="13"/>
        <v>0</v>
      </c>
      <c r="Q14">
        <f t="shared" si="14"/>
        <v>0</v>
      </c>
      <c r="R14">
        <f t="shared" si="15"/>
        <v>0</v>
      </c>
    </row>
    <row r="15" spans="1:18" x14ac:dyDescent="0.25">
      <c r="A15">
        <v>4</v>
      </c>
      <c r="B15" t="str">
        <f t="shared" si="0"/>
        <v>Cristian</v>
      </c>
      <c r="C15" s="10" t="s">
        <v>50</v>
      </c>
      <c r="D15" t="str">
        <f t="shared" si="1"/>
        <v>NORMAL</v>
      </c>
      <c r="E15" s="11" t="str">
        <f t="shared" si="2"/>
        <v>Siguiente en orden</v>
      </c>
      <c r="F15">
        <f t="shared" si="3"/>
        <v>3</v>
      </c>
      <c r="G15">
        <f t="shared" si="4"/>
        <v>1</v>
      </c>
      <c r="H15">
        <f t="shared" si="5"/>
        <v>0</v>
      </c>
      <c r="I15">
        <f t="shared" si="6"/>
        <v>1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1</v>
      </c>
      <c r="N15">
        <f t="shared" si="11"/>
        <v>0</v>
      </c>
      <c r="O15">
        <f t="shared" si="12"/>
        <v>0</v>
      </c>
      <c r="P15">
        <f t="shared" si="13"/>
        <v>0</v>
      </c>
      <c r="Q15">
        <f t="shared" si="14"/>
        <v>0</v>
      </c>
      <c r="R15">
        <f t="shared" si="15"/>
        <v>0</v>
      </c>
    </row>
    <row r="16" spans="1:18" x14ac:dyDescent="0.25">
      <c r="A16">
        <v>5</v>
      </c>
      <c r="B16" t="str">
        <f t="shared" si="0"/>
        <v>Bob</v>
      </c>
      <c r="C16" s="10" t="s">
        <v>49</v>
      </c>
      <c r="D16" t="str">
        <f t="shared" si="1"/>
        <v>RECHAZADO</v>
      </c>
      <c r="E16" s="11" t="str">
        <f t="shared" si="2"/>
        <v>Siguiente en orden</v>
      </c>
      <c r="F16">
        <f t="shared" si="3"/>
        <v>4</v>
      </c>
      <c r="G16">
        <f t="shared" si="4"/>
        <v>1</v>
      </c>
      <c r="H16">
        <f t="shared" si="5"/>
        <v>0</v>
      </c>
      <c r="I16">
        <f t="shared" si="6"/>
        <v>1</v>
      </c>
      <c r="J16">
        <f t="shared" si="7"/>
        <v>0</v>
      </c>
      <c r="K16">
        <f t="shared" si="8"/>
        <v>0</v>
      </c>
      <c r="L16">
        <f t="shared" si="9"/>
        <v>0</v>
      </c>
      <c r="M16">
        <f t="shared" si="10"/>
        <v>1</v>
      </c>
      <c r="N16">
        <f t="shared" si="11"/>
        <v>0</v>
      </c>
      <c r="O16">
        <f t="shared" si="12"/>
        <v>0</v>
      </c>
      <c r="P16">
        <f t="shared" si="13"/>
        <v>0</v>
      </c>
      <c r="Q16">
        <f t="shared" si="14"/>
        <v>0</v>
      </c>
      <c r="R16">
        <f t="shared" si="15"/>
        <v>0</v>
      </c>
    </row>
    <row r="17" spans="1:18" x14ac:dyDescent="0.25">
      <c r="A17">
        <v>6</v>
      </c>
      <c r="B17" t="str">
        <f t="shared" si="0"/>
        <v>Cristian</v>
      </c>
      <c r="C17" s="10" t="s">
        <v>50</v>
      </c>
      <c r="D17" t="str">
        <f t="shared" si="1"/>
        <v>REEMPLAZO</v>
      </c>
      <c r="E17" s="11" t="str">
        <f t="shared" si="2"/>
        <v>Buscando reemplazo...</v>
      </c>
      <c r="F17">
        <f t="shared" si="3"/>
        <v>4</v>
      </c>
      <c r="G17">
        <f t="shared" si="4"/>
        <v>1</v>
      </c>
      <c r="H17">
        <f t="shared" si="5"/>
        <v>0</v>
      </c>
      <c r="I17">
        <f t="shared" si="6"/>
        <v>1</v>
      </c>
      <c r="J17">
        <f t="shared" si="7"/>
        <v>0</v>
      </c>
      <c r="K17">
        <f t="shared" si="8"/>
        <v>0</v>
      </c>
      <c r="L17">
        <f t="shared" si="9"/>
        <v>0</v>
      </c>
      <c r="M17">
        <f t="shared" si="10"/>
        <v>1</v>
      </c>
      <c r="N17">
        <f t="shared" si="11"/>
        <v>0</v>
      </c>
      <c r="O17">
        <f t="shared" si="12"/>
        <v>0</v>
      </c>
      <c r="P17">
        <f t="shared" si="13"/>
        <v>0</v>
      </c>
      <c r="Q17">
        <f t="shared" si="14"/>
        <v>0</v>
      </c>
      <c r="R17">
        <f t="shared" si="15"/>
        <v>0</v>
      </c>
    </row>
    <row r="18" spans="1:18" x14ac:dyDescent="0.25">
      <c r="A18">
        <v>7</v>
      </c>
      <c r="B18" t="str">
        <f t="shared" si="0"/>
        <v>Kafw</v>
      </c>
      <c r="C18" s="10" t="s">
        <v>50</v>
      </c>
      <c r="D18" t="str">
        <f t="shared" si="1"/>
        <v>NORMAL</v>
      </c>
      <c r="E18" s="11" t="str">
        <f t="shared" si="2"/>
        <v>Siguiente en orden</v>
      </c>
      <c r="F18">
        <f t="shared" si="3"/>
        <v>5</v>
      </c>
      <c r="G18">
        <f t="shared" si="4"/>
        <v>1</v>
      </c>
      <c r="H18">
        <f t="shared" si="5"/>
        <v>0</v>
      </c>
      <c r="I18">
        <f t="shared" si="6"/>
        <v>1</v>
      </c>
      <c r="J18">
        <f t="shared" si="7"/>
        <v>0</v>
      </c>
      <c r="K18">
        <f t="shared" si="8"/>
        <v>1</v>
      </c>
      <c r="L18">
        <f t="shared" si="9"/>
        <v>0</v>
      </c>
      <c r="M18">
        <f t="shared" si="10"/>
        <v>1</v>
      </c>
      <c r="N18">
        <f t="shared" si="11"/>
        <v>0</v>
      </c>
      <c r="O18">
        <f t="shared" si="12"/>
        <v>1</v>
      </c>
      <c r="P18">
        <f t="shared" si="13"/>
        <v>0</v>
      </c>
      <c r="Q18">
        <f t="shared" si="14"/>
        <v>0</v>
      </c>
      <c r="R18">
        <f t="shared" si="15"/>
        <v>0</v>
      </c>
    </row>
    <row r="19" spans="1:18" x14ac:dyDescent="0.25">
      <c r="A19">
        <v>8</v>
      </c>
      <c r="B19" t="str">
        <f t="shared" si="0"/>
        <v>Kyle</v>
      </c>
      <c r="C19" s="10" t="s">
        <v>49</v>
      </c>
      <c r="D19" t="str">
        <f t="shared" si="1"/>
        <v>RECHAZADO</v>
      </c>
      <c r="E19" s="11" t="str">
        <f t="shared" si="2"/>
        <v>Siguiente en orden</v>
      </c>
      <c r="F19">
        <f t="shared" si="3"/>
        <v>6</v>
      </c>
      <c r="G19">
        <f t="shared" si="4"/>
        <v>1</v>
      </c>
      <c r="H19">
        <f t="shared" si="5"/>
        <v>0</v>
      </c>
      <c r="I19">
        <f t="shared" si="6"/>
        <v>1</v>
      </c>
      <c r="J19">
        <f t="shared" si="7"/>
        <v>0</v>
      </c>
      <c r="K19">
        <f t="shared" si="8"/>
        <v>1</v>
      </c>
      <c r="L19">
        <f t="shared" si="9"/>
        <v>0</v>
      </c>
      <c r="M19">
        <f t="shared" si="10"/>
        <v>1</v>
      </c>
      <c r="N19">
        <f t="shared" si="11"/>
        <v>0</v>
      </c>
      <c r="O19">
        <f t="shared" si="12"/>
        <v>1</v>
      </c>
      <c r="P19">
        <f t="shared" si="13"/>
        <v>0</v>
      </c>
      <c r="Q19">
        <f t="shared" si="14"/>
        <v>0</v>
      </c>
      <c r="R19">
        <f t="shared" si="15"/>
        <v>0</v>
      </c>
    </row>
    <row r="20" spans="1:18" x14ac:dyDescent="0.25">
      <c r="A20">
        <v>9</v>
      </c>
      <c r="B20" t="str">
        <f t="shared" si="0"/>
        <v>Kafw</v>
      </c>
      <c r="C20" s="10" t="s">
        <v>49</v>
      </c>
      <c r="D20" t="str">
        <f t="shared" si="1"/>
        <v>REEMPLAZO</v>
      </c>
      <c r="E20" s="11" t="str">
        <f t="shared" si="2"/>
        <v>Buscando reemplazo...</v>
      </c>
      <c r="F20">
        <f t="shared" si="3"/>
        <v>6</v>
      </c>
      <c r="G20">
        <f t="shared" si="4"/>
        <v>1</v>
      </c>
      <c r="H20">
        <f t="shared" si="5"/>
        <v>0</v>
      </c>
      <c r="I20">
        <f t="shared" si="6"/>
        <v>1</v>
      </c>
      <c r="J20">
        <f t="shared" si="7"/>
        <v>0</v>
      </c>
      <c r="K20">
        <f t="shared" si="8"/>
        <v>1</v>
      </c>
      <c r="L20">
        <f t="shared" si="9"/>
        <v>0</v>
      </c>
      <c r="M20">
        <f t="shared" si="10"/>
        <v>1</v>
      </c>
      <c r="N20">
        <f t="shared" si="11"/>
        <v>0</v>
      </c>
      <c r="O20">
        <f t="shared" si="12"/>
        <v>1</v>
      </c>
      <c r="P20">
        <f t="shared" si="13"/>
        <v>0</v>
      </c>
      <c r="Q20">
        <f t="shared" si="14"/>
        <v>0</v>
      </c>
      <c r="R20">
        <f t="shared" si="15"/>
        <v>0</v>
      </c>
    </row>
    <row r="21" spans="1:18" x14ac:dyDescent="0.25">
      <c r="A21">
        <v>10</v>
      </c>
      <c r="B21" t="str">
        <f t="shared" si="0"/>
        <v>Kyle</v>
      </c>
      <c r="C21" s="10"/>
      <c r="D21" t="str">
        <f t="shared" si="1"/>
        <v/>
      </c>
      <c r="E21" s="11" t="str">
        <f t="shared" si="2"/>
        <v>Buscando reemplazo...</v>
      </c>
      <c r="F21">
        <f t="shared" si="3"/>
        <v>6</v>
      </c>
      <c r="G21">
        <f t="shared" si="4"/>
        <v>1</v>
      </c>
      <c r="H21">
        <f t="shared" si="5"/>
        <v>0</v>
      </c>
      <c r="I21">
        <f t="shared" si="6"/>
        <v>1</v>
      </c>
      <c r="J21">
        <f t="shared" si="7"/>
        <v>0</v>
      </c>
      <c r="K21">
        <f t="shared" si="8"/>
        <v>1</v>
      </c>
      <c r="L21">
        <f t="shared" si="9"/>
        <v>0</v>
      </c>
      <c r="M21">
        <f t="shared" si="10"/>
        <v>1</v>
      </c>
      <c r="N21">
        <f t="shared" si="11"/>
        <v>0</v>
      </c>
      <c r="O21">
        <f t="shared" si="12"/>
        <v>1</v>
      </c>
      <c r="P21">
        <f t="shared" si="13"/>
        <v>0</v>
      </c>
      <c r="Q21">
        <f t="shared" si="14"/>
        <v>1</v>
      </c>
      <c r="R21">
        <f t="shared" si="15"/>
        <v>0</v>
      </c>
    </row>
    <row r="22" spans="1:18" x14ac:dyDescent="0.25">
      <c r="A22">
        <v>11</v>
      </c>
      <c r="B22" t="str">
        <f t="shared" si="0"/>
        <v>Kyle</v>
      </c>
      <c r="C22" s="10"/>
      <c r="D22" t="str">
        <f t="shared" si="1"/>
        <v/>
      </c>
      <c r="E22" s="11" t="str">
        <f t="shared" si="2"/>
        <v>Completar trabajo anterior</v>
      </c>
      <c r="F22">
        <f t="shared" si="3"/>
        <v>6</v>
      </c>
      <c r="G22">
        <f t="shared" si="4"/>
        <v>1</v>
      </c>
      <c r="H22">
        <f t="shared" si="5"/>
        <v>0</v>
      </c>
      <c r="I22">
        <f t="shared" si="6"/>
        <v>1</v>
      </c>
      <c r="J22">
        <f t="shared" si="7"/>
        <v>0</v>
      </c>
      <c r="K22">
        <f t="shared" si="8"/>
        <v>1</v>
      </c>
      <c r="L22">
        <f t="shared" si="9"/>
        <v>0</v>
      </c>
      <c r="M22">
        <f t="shared" si="10"/>
        <v>1</v>
      </c>
      <c r="N22">
        <f t="shared" si="11"/>
        <v>0</v>
      </c>
      <c r="O22">
        <f t="shared" si="12"/>
        <v>1</v>
      </c>
      <c r="P22">
        <f t="shared" si="13"/>
        <v>0</v>
      </c>
      <c r="Q22">
        <f t="shared" si="14"/>
        <v>1</v>
      </c>
      <c r="R22">
        <f t="shared" si="15"/>
        <v>0</v>
      </c>
    </row>
    <row r="23" spans="1:18" x14ac:dyDescent="0.25">
      <c r="A23">
        <v>12</v>
      </c>
      <c r="B23" t="str">
        <f t="shared" si="0"/>
        <v>Kyle</v>
      </c>
      <c r="C23" s="10"/>
      <c r="D23" t="str">
        <f t="shared" si="1"/>
        <v/>
      </c>
      <c r="E23" s="11" t="str">
        <f t="shared" si="2"/>
        <v>Completar trabajo anterior</v>
      </c>
      <c r="F23">
        <f t="shared" si="3"/>
        <v>6</v>
      </c>
      <c r="G23">
        <f t="shared" si="4"/>
        <v>1</v>
      </c>
      <c r="H23">
        <f t="shared" si="5"/>
        <v>0</v>
      </c>
      <c r="I23">
        <f t="shared" si="6"/>
        <v>1</v>
      </c>
      <c r="J23">
        <f t="shared" si="7"/>
        <v>0</v>
      </c>
      <c r="K23">
        <f t="shared" si="8"/>
        <v>1</v>
      </c>
      <c r="L23">
        <f t="shared" si="9"/>
        <v>0</v>
      </c>
      <c r="M23">
        <f t="shared" si="10"/>
        <v>1</v>
      </c>
      <c r="N23">
        <f t="shared" si="11"/>
        <v>0</v>
      </c>
      <c r="O23">
        <f t="shared" si="12"/>
        <v>1</v>
      </c>
      <c r="P23">
        <f t="shared" si="13"/>
        <v>0</v>
      </c>
      <c r="Q23">
        <f t="shared" si="14"/>
        <v>1</v>
      </c>
      <c r="R23">
        <f t="shared" si="15"/>
        <v>0</v>
      </c>
    </row>
    <row r="24" spans="1:18" x14ac:dyDescent="0.25">
      <c r="A24">
        <v>13</v>
      </c>
      <c r="B24" t="str">
        <f t="shared" si="0"/>
        <v>Kyle</v>
      </c>
      <c r="C24" s="10"/>
      <c r="D24" t="str">
        <f t="shared" si="1"/>
        <v/>
      </c>
      <c r="E24" s="11" t="str">
        <f t="shared" si="2"/>
        <v>Completar trabajo anterior</v>
      </c>
      <c r="F24">
        <f t="shared" si="3"/>
        <v>6</v>
      </c>
      <c r="G24">
        <f t="shared" si="4"/>
        <v>1</v>
      </c>
      <c r="H24">
        <f t="shared" si="5"/>
        <v>0</v>
      </c>
      <c r="I24">
        <f t="shared" si="6"/>
        <v>1</v>
      </c>
      <c r="J24">
        <f t="shared" si="7"/>
        <v>0</v>
      </c>
      <c r="K24">
        <f t="shared" si="8"/>
        <v>1</v>
      </c>
      <c r="L24">
        <f t="shared" si="9"/>
        <v>0</v>
      </c>
      <c r="M24">
        <f t="shared" si="10"/>
        <v>1</v>
      </c>
      <c r="N24">
        <f t="shared" si="11"/>
        <v>0</v>
      </c>
      <c r="O24">
        <f t="shared" si="12"/>
        <v>1</v>
      </c>
      <c r="P24">
        <f t="shared" si="13"/>
        <v>0</v>
      </c>
      <c r="Q24">
        <f t="shared" si="14"/>
        <v>1</v>
      </c>
      <c r="R24">
        <f t="shared" si="15"/>
        <v>0</v>
      </c>
    </row>
    <row r="25" spans="1:18" x14ac:dyDescent="0.25">
      <c r="A25">
        <v>14</v>
      </c>
      <c r="B25" t="str">
        <f t="shared" si="0"/>
        <v>Kyle</v>
      </c>
      <c r="C25" s="10"/>
      <c r="D25" t="str">
        <f t="shared" si="1"/>
        <v/>
      </c>
      <c r="E25" s="11" t="str">
        <f t="shared" si="2"/>
        <v>Completar trabajo anterior</v>
      </c>
      <c r="F25">
        <f t="shared" si="3"/>
        <v>6</v>
      </c>
      <c r="G25">
        <f t="shared" si="4"/>
        <v>1</v>
      </c>
      <c r="H25">
        <f t="shared" si="5"/>
        <v>0</v>
      </c>
      <c r="I25">
        <f t="shared" si="6"/>
        <v>1</v>
      </c>
      <c r="J25">
        <f t="shared" si="7"/>
        <v>0</v>
      </c>
      <c r="K25">
        <f t="shared" si="8"/>
        <v>1</v>
      </c>
      <c r="L25">
        <f t="shared" si="9"/>
        <v>0</v>
      </c>
      <c r="M25">
        <f t="shared" si="10"/>
        <v>1</v>
      </c>
      <c r="N25">
        <f t="shared" si="11"/>
        <v>0</v>
      </c>
      <c r="O25">
        <f t="shared" si="12"/>
        <v>1</v>
      </c>
      <c r="P25">
        <f t="shared" si="13"/>
        <v>0</v>
      </c>
      <c r="Q25">
        <f t="shared" si="14"/>
        <v>1</v>
      </c>
      <c r="R25">
        <f t="shared" si="15"/>
        <v>0</v>
      </c>
    </row>
    <row r="26" spans="1:18" x14ac:dyDescent="0.25">
      <c r="A26">
        <v>15</v>
      </c>
      <c r="B26" t="str">
        <f t="shared" si="0"/>
        <v>Kyle</v>
      </c>
      <c r="C26" s="10"/>
      <c r="D26" t="str">
        <f t="shared" si="1"/>
        <v/>
      </c>
      <c r="E26" s="11" t="str">
        <f t="shared" si="2"/>
        <v>Completar trabajo anterior</v>
      </c>
      <c r="F26">
        <f t="shared" si="3"/>
        <v>6</v>
      </c>
      <c r="G26">
        <f t="shared" si="4"/>
        <v>1</v>
      </c>
      <c r="H26">
        <f t="shared" si="5"/>
        <v>0</v>
      </c>
      <c r="I26">
        <f t="shared" si="6"/>
        <v>1</v>
      </c>
      <c r="J26">
        <f t="shared" si="7"/>
        <v>0</v>
      </c>
      <c r="K26">
        <f t="shared" si="8"/>
        <v>1</v>
      </c>
      <c r="L26">
        <f t="shared" si="9"/>
        <v>0</v>
      </c>
      <c r="M26">
        <f t="shared" si="10"/>
        <v>1</v>
      </c>
      <c r="N26">
        <f t="shared" si="11"/>
        <v>0</v>
      </c>
      <c r="O26">
        <f t="shared" si="12"/>
        <v>1</v>
      </c>
      <c r="P26">
        <f t="shared" si="13"/>
        <v>0</v>
      </c>
      <c r="Q26">
        <f t="shared" si="14"/>
        <v>1</v>
      </c>
      <c r="R26">
        <f t="shared" si="15"/>
        <v>0</v>
      </c>
    </row>
    <row r="27" spans="1:18" x14ac:dyDescent="0.25">
      <c r="A27">
        <v>16</v>
      </c>
      <c r="B27" t="str">
        <f t="shared" si="0"/>
        <v>Kyle</v>
      </c>
      <c r="C27" s="10"/>
      <c r="D27" t="str">
        <f t="shared" si="1"/>
        <v/>
      </c>
      <c r="E27" s="11" t="str">
        <f t="shared" si="2"/>
        <v>Completar trabajo anterior</v>
      </c>
      <c r="F27">
        <f t="shared" si="3"/>
        <v>6</v>
      </c>
      <c r="G27">
        <f t="shared" si="4"/>
        <v>1</v>
      </c>
      <c r="H27">
        <f t="shared" si="5"/>
        <v>0</v>
      </c>
      <c r="I27">
        <f t="shared" si="6"/>
        <v>1</v>
      </c>
      <c r="J27">
        <f t="shared" si="7"/>
        <v>0</v>
      </c>
      <c r="K27">
        <f t="shared" si="8"/>
        <v>1</v>
      </c>
      <c r="L27">
        <f t="shared" si="9"/>
        <v>0</v>
      </c>
      <c r="M27">
        <f t="shared" si="10"/>
        <v>1</v>
      </c>
      <c r="N27">
        <f t="shared" si="11"/>
        <v>0</v>
      </c>
      <c r="O27">
        <f t="shared" si="12"/>
        <v>1</v>
      </c>
      <c r="P27">
        <f t="shared" si="13"/>
        <v>0</v>
      </c>
      <c r="Q27">
        <f t="shared" si="14"/>
        <v>1</v>
      </c>
      <c r="R27">
        <f t="shared" si="15"/>
        <v>0</v>
      </c>
    </row>
    <row r="28" spans="1:18" x14ac:dyDescent="0.25">
      <c r="A28">
        <v>17</v>
      </c>
      <c r="B28" t="str">
        <f t="shared" si="0"/>
        <v>Kyle</v>
      </c>
      <c r="C28" s="10"/>
      <c r="D28" t="str">
        <f t="shared" si="1"/>
        <v/>
      </c>
      <c r="E28" s="11" t="str">
        <f t="shared" si="2"/>
        <v>Completar trabajo anterior</v>
      </c>
      <c r="F28">
        <f t="shared" si="3"/>
        <v>6</v>
      </c>
      <c r="G28">
        <f t="shared" si="4"/>
        <v>1</v>
      </c>
      <c r="H28">
        <f t="shared" si="5"/>
        <v>0</v>
      </c>
      <c r="I28">
        <f t="shared" si="6"/>
        <v>1</v>
      </c>
      <c r="J28">
        <f t="shared" si="7"/>
        <v>0</v>
      </c>
      <c r="K28">
        <f t="shared" si="8"/>
        <v>1</v>
      </c>
      <c r="L28">
        <f t="shared" si="9"/>
        <v>0</v>
      </c>
      <c r="M28">
        <f t="shared" si="10"/>
        <v>1</v>
      </c>
      <c r="N28">
        <f t="shared" si="11"/>
        <v>0</v>
      </c>
      <c r="O28">
        <f t="shared" si="12"/>
        <v>1</v>
      </c>
      <c r="P28">
        <f t="shared" si="13"/>
        <v>0</v>
      </c>
      <c r="Q28">
        <f t="shared" si="14"/>
        <v>1</v>
      </c>
      <c r="R28">
        <f t="shared" si="15"/>
        <v>0</v>
      </c>
    </row>
    <row r="29" spans="1:18" x14ac:dyDescent="0.25">
      <c r="A29">
        <v>18</v>
      </c>
      <c r="B29" t="str">
        <f t="shared" si="0"/>
        <v>Kyle</v>
      </c>
      <c r="C29" s="10"/>
      <c r="D29" t="str">
        <f t="shared" si="1"/>
        <v/>
      </c>
      <c r="E29" s="11" t="str">
        <f t="shared" si="2"/>
        <v>Completar trabajo anterior</v>
      </c>
      <c r="F29">
        <f t="shared" si="3"/>
        <v>6</v>
      </c>
      <c r="G29">
        <f t="shared" si="4"/>
        <v>1</v>
      </c>
      <c r="H29">
        <f t="shared" si="5"/>
        <v>0</v>
      </c>
      <c r="I29">
        <f t="shared" si="6"/>
        <v>1</v>
      </c>
      <c r="J29">
        <f t="shared" si="7"/>
        <v>0</v>
      </c>
      <c r="K29">
        <f t="shared" si="8"/>
        <v>1</v>
      </c>
      <c r="L29">
        <f t="shared" si="9"/>
        <v>0</v>
      </c>
      <c r="M29">
        <f t="shared" si="10"/>
        <v>1</v>
      </c>
      <c r="N29">
        <f t="shared" si="11"/>
        <v>0</v>
      </c>
      <c r="O29">
        <f t="shared" si="12"/>
        <v>1</v>
      </c>
      <c r="P29">
        <f t="shared" si="13"/>
        <v>0</v>
      </c>
      <c r="Q29">
        <f t="shared" si="14"/>
        <v>1</v>
      </c>
      <c r="R29">
        <f t="shared" si="15"/>
        <v>0</v>
      </c>
    </row>
    <row r="30" spans="1:18" x14ac:dyDescent="0.25">
      <c r="A30">
        <v>19</v>
      </c>
      <c r="B30" t="str">
        <f t="shared" si="0"/>
        <v>Kyle</v>
      </c>
      <c r="C30" s="10"/>
      <c r="D30" t="str">
        <f t="shared" si="1"/>
        <v/>
      </c>
      <c r="E30" s="11" t="str">
        <f t="shared" si="2"/>
        <v>Completar trabajo anterior</v>
      </c>
      <c r="F30">
        <f t="shared" si="3"/>
        <v>6</v>
      </c>
      <c r="G30">
        <f t="shared" si="4"/>
        <v>1</v>
      </c>
      <c r="H30">
        <f t="shared" si="5"/>
        <v>0</v>
      </c>
      <c r="I30">
        <f t="shared" si="6"/>
        <v>1</v>
      </c>
      <c r="J30">
        <f t="shared" si="7"/>
        <v>0</v>
      </c>
      <c r="K30">
        <f t="shared" si="8"/>
        <v>1</v>
      </c>
      <c r="L30">
        <f t="shared" si="9"/>
        <v>0</v>
      </c>
      <c r="M30">
        <f t="shared" si="10"/>
        <v>1</v>
      </c>
      <c r="N30">
        <f t="shared" si="11"/>
        <v>0</v>
      </c>
      <c r="O30">
        <f t="shared" si="12"/>
        <v>1</v>
      </c>
      <c r="P30">
        <f t="shared" si="13"/>
        <v>0</v>
      </c>
      <c r="Q30">
        <f t="shared" si="14"/>
        <v>1</v>
      </c>
      <c r="R30">
        <f t="shared" si="15"/>
        <v>0</v>
      </c>
    </row>
    <row r="31" spans="1:18" x14ac:dyDescent="0.25">
      <c r="A31">
        <v>20</v>
      </c>
      <c r="B31" t="str">
        <f t="shared" si="0"/>
        <v>Kyle</v>
      </c>
      <c r="C31" s="10"/>
      <c r="D31" t="str">
        <f t="shared" si="1"/>
        <v/>
      </c>
      <c r="E31" s="11" t="str">
        <f t="shared" si="2"/>
        <v>Completar trabajo anterior</v>
      </c>
      <c r="F31">
        <f t="shared" si="3"/>
        <v>6</v>
      </c>
      <c r="G31">
        <f t="shared" si="4"/>
        <v>1</v>
      </c>
      <c r="H31">
        <f t="shared" si="5"/>
        <v>0</v>
      </c>
      <c r="I31">
        <f t="shared" si="6"/>
        <v>1</v>
      </c>
      <c r="J31">
        <f t="shared" si="7"/>
        <v>0</v>
      </c>
      <c r="K31">
        <f t="shared" si="8"/>
        <v>1</v>
      </c>
      <c r="L31">
        <f t="shared" si="9"/>
        <v>0</v>
      </c>
      <c r="M31">
        <f t="shared" si="10"/>
        <v>1</v>
      </c>
      <c r="N31">
        <f t="shared" si="11"/>
        <v>0</v>
      </c>
      <c r="O31">
        <f t="shared" si="12"/>
        <v>1</v>
      </c>
      <c r="P31">
        <f t="shared" si="13"/>
        <v>0</v>
      </c>
      <c r="Q31">
        <f t="shared" si="14"/>
        <v>1</v>
      </c>
      <c r="R31">
        <f t="shared" si="15"/>
        <v>0</v>
      </c>
    </row>
    <row r="32" spans="1:18" x14ac:dyDescent="0.25">
      <c r="A32">
        <v>21</v>
      </c>
      <c r="B32" t="str">
        <f t="shared" si="0"/>
        <v>Kyle</v>
      </c>
      <c r="C32" s="10"/>
      <c r="D32" t="str">
        <f t="shared" si="1"/>
        <v/>
      </c>
      <c r="E32" s="11" t="str">
        <f t="shared" si="2"/>
        <v>Completar trabajo anterior</v>
      </c>
      <c r="F32">
        <f t="shared" si="3"/>
        <v>6</v>
      </c>
      <c r="G32">
        <f t="shared" si="4"/>
        <v>1</v>
      </c>
      <c r="H32">
        <f t="shared" si="5"/>
        <v>0</v>
      </c>
      <c r="I32">
        <f t="shared" si="6"/>
        <v>1</v>
      </c>
      <c r="J32">
        <f t="shared" si="7"/>
        <v>0</v>
      </c>
      <c r="K32">
        <f t="shared" si="8"/>
        <v>1</v>
      </c>
      <c r="L32">
        <f t="shared" si="9"/>
        <v>0</v>
      </c>
      <c r="M32">
        <f t="shared" si="10"/>
        <v>1</v>
      </c>
      <c r="N32">
        <f t="shared" si="11"/>
        <v>0</v>
      </c>
      <c r="O32">
        <f t="shared" si="12"/>
        <v>1</v>
      </c>
      <c r="P32">
        <f t="shared" si="13"/>
        <v>0</v>
      </c>
      <c r="Q32">
        <f t="shared" si="14"/>
        <v>1</v>
      </c>
      <c r="R32">
        <f t="shared" si="15"/>
        <v>0</v>
      </c>
    </row>
    <row r="33" spans="1:18" x14ac:dyDescent="0.25">
      <c r="A33">
        <v>22</v>
      </c>
      <c r="B33" t="str">
        <f t="shared" si="0"/>
        <v>Kyle</v>
      </c>
      <c r="C33" s="10"/>
      <c r="D33" t="str">
        <f t="shared" si="1"/>
        <v/>
      </c>
      <c r="E33" s="11" t="str">
        <f t="shared" si="2"/>
        <v>Completar trabajo anterior</v>
      </c>
      <c r="F33">
        <f t="shared" si="3"/>
        <v>6</v>
      </c>
      <c r="G33">
        <f t="shared" si="4"/>
        <v>1</v>
      </c>
      <c r="H33">
        <f t="shared" si="5"/>
        <v>0</v>
      </c>
      <c r="I33">
        <f t="shared" si="6"/>
        <v>1</v>
      </c>
      <c r="J33">
        <f t="shared" si="7"/>
        <v>0</v>
      </c>
      <c r="K33">
        <f t="shared" si="8"/>
        <v>1</v>
      </c>
      <c r="L33">
        <f t="shared" si="9"/>
        <v>0</v>
      </c>
      <c r="M33">
        <f t="shared" si="10"/>
        <v>1</v>
      </c>
      <c r="N33">
        <f t="shared" si="11"/>
        <v>0</v>
      </c>
      <c r="O33">
        <f t="shared" si="12"/>
        <v>1</v>
      </c>
      <c r="P33">
        <f t="shared" si="13"/>
        <v>0</v>
      </c>
      <c r="Q33">
        <f t="shared" si="14"/>
        <v>1</v>
      </c>
      <c r="R33">
        <f t="shared" si="15"/>
        <v>0</v>
      </c>
    </row>
    <row r="34" spans="1:18" x14ac:dyDescent="0.25">
      <c r="A34">
        <v>23</v>
      </c>
      <c r="B34" t="str">
        <f t="shared" si="0"/>
        <v>Kyle</v>
      </c>
      <c r="C34" s="10"/>
      <c r="D34" t="str">
        <f t="shared" si="1"/>
        <v/>
      </c>
      <c r="E34" s="11" t="str">
        <f t="shared" si="2"/>
        <v>Completar trabajo anterior</v>
      </c>
      <c r="F34">
        <f t="shared" si="3"/>
        <v>6</v>
      </c>
      <c r="G34">
        <f t="shared" si="4"/>
        <v>1</v>
      </c>
      <c r="H34">
        <f t="shared" si="5"/>
        <v>0</v>
      </c>
      <c r="I34">
        <f t="shared" si="6"/>
        <v>1</v>
      </c>
      <c r="J34">
        <f t="shared" si="7"/>
        <v>0</v>
      </c>
      <c r="K34">
        <f t="shared" si="8"/>
        <v>1</v>
      </c>
      <c r="L34">
        <f t="shared" si="9"/>
        <v>0</v>
      </c>
      <c r="M34">
        <f t="shared" si="10"/>
        <v>1</v>
      </c>
      <c r="N34">
        <f t="shared" si="11"/>
        <v>0</v>
      </c>
      <c r="O34">
        <f t="shared" si="12"/>
        <v>1</v>
      </c>
      <c r="P34">
        <f t="shared" si="13"/>
        <v>0</v>
      </c>
      <c r="Q34">
        <f t="shared" si="14"/>
        <v>1</v>
      </c>
      <c r="R34">
        <f t="shared" si="15"/>
        <v>0</v>
      </c>
    </row>
    <row r="35" spans="1:18" x14ac:dyDescent="0.25">
      <c r="A35">
        <v>24</v>
      </c>
      <c r="B35" t="str">
        <f t="shared" si="0"/>
        <v>Kyle</v>
      </c>
      <c r="C35" s="10"/>
      <c r="D35" t="str">
        <f t="shared" si="1"/>
        <v/>
      </c>
      <c r="E35" s="11" t="str">
        <f t="shared" si="2"/>
        <v>Completar trabajo anterior</v>
      </c>
      <c r="F35">
        <f t="shared" si="3"/>
        <v>6</v>
      </c>
      <c r="G35">
        <f t="shared" si="4"/>
        <v>1</v>
      </c>
      <c r="H35">
        <f t="shared" si="5"/>
        <v>0</v>
      </c>
      <c r="I35">
        <f t="shared" si="6"/>
        <v>1</v>
      </c>
      <c r="J35">
        <f t="shared" si="7"/>
        <v>0</v>
      </c>
      <c r="K35">
        <f t="shared" si="8"/>
        <v>1</v>
      </c>
      <c r="L35">
        <f t="shared" si="9"/>
        <v>0</v>
      </c>
      <c r="M35">
        <f t="shared" si="10"/>
        <v>1</v>
      </c>
      <c r="N35">
        <f t="shared" si="11"/>
        <v>0</v>
      </c>
      <c r="O35">
        <f t="shared" si="12"/>
        <v>1</v>
      </c>
      <c r="P35">
        <f t="shared" si="13"/>
        <v>0</v>
      </c>
      <c r="Q35">
        <f t="shared" si="14"/>
        <v>1</v>
      </c>
      <c r="R35">
        <f t="shared" si="15"/>
        <v>0</v>
      </c>
    </row>
    <row r="36" spans="1:18" x14ac:dyDescent="0.25">
      <c r="A36">
        <v>25</v>
      </c>
      <c r="B36" t="str">
        <f t="shared" si="0"/>
        <v>Kyle</v>
      </c>
      <c r="C36" s="10"/>
      <c r="D36" t="str">
        <f t="shared" si="1"/>
        <v/>
      </c>
      <c r="E36" s="11" t="str">
        <f t="shared" si="2"/>
        <v>Completar trabajo anterior</v>
      </c>
      <c r="F36">
        <f t="shared" si="3"/>
        <v>6</v>
      </c>
      <c r="G36">
        <f t="shared" si="4"/>
        <v>1</v>
      </c>
      <c r="H36">
        <f t="shared" si="5"/>
        <v>0</v>
      </c>
      <c r="I36">
        <f t="shared" si="6"/>
        <v>1</v>
      </c>
      <c r="J36">
        <f t="shared" si="7"/>
        <v>0</v>
      </c>
      <c r="K36">
        <f t="shared" si="8"/>
        <v>1</v>
      </c>
      <c r="L36">
        <f t="shared" si="9"/>
        <v>0</v>
      </c>
      <c r="M36">
        <f t="shared" si="10"/>
        <v>1</v>
      </c>
      <c r="N36">
        <f t="shared" si="11"/>
        <v>0</v>
      </c>
      <c r="O36">
        <f t="shared" si="12"/>
        <v>1</v>
      </c>
      <c r="P36">
        <f t="shared" si="13"/>
        <v>0</v>
      </c>
      <c r="Q36">
        <f t="shared" si="14"/>
        <v>1</v>
      </c>
      <c r="R36">
        <f t="shared" si="15"/>
        <v>0</v>
      </c>
    </row>
    <row r="37" spans="1:18" x14ac:dyDescent="0.25">
      <c r="A37">
        <v>26</v>
      </c>
      <c r="B37" t="str">
        <f t="shared" si="0"/>
        <v>Kyle</v>
      </c>
      <c r="C37" s="10"/>
      <c r="D37" t="str">
        <f t="shared" si="1"/>
        <v/>
      </c>
      <c r="E37" s="11" t="str">
        <f t="shared" si="2"/>
        <v>Completar trabajo anterior</v>
      </c>
      <c r="F37">
        <f t="shared" si="3"/>
        <v>6</v>
      </c>
      <c r="G37">
        <f t="shared" si="4"/>
        <v>1</v>
      </c>
      <c r="H37">
        <f t="shared" si="5"/>
        <v>0</v>
      </c>
      <c r="I37">
        <f t="shared" si="6"/>
        <v>1</v>
      </c>
      <c r="J37">
        <f t="shared" si="7"/>
        <v>0</v>
      </c>
      <c r="K37">
        <f t="shared" si="8"/>
        <v>1</v>
      </c>
      <c r="L37">
        <f t="shared" si="9"/>
        <v>0</v>
      </c>
      <c r="M37">
        <f t="shared" si="10"/>
        <v>1</v>
      </c>
      <c r="N37">
        <f t="shared" si="11"/>
        <v>0</v>
      </c>
      <c r="O37">
        <f t="shared" si="12"/>
        <v>1</v>
      </c>
      <c r="P37">
        <f t="shared" si="13"/>
        <v>0</v>
      </c>
      <c r="Q37">
        <f t="shared" si="14"/>
        <v>1</v>
      </c>
      <c r="R37">
        <f t="shared" si="15"/>
        <v>0</v>
      </c>
    </row>
    <row r="38" spans="1:18" x14ac:dyDescent="0.25">
      <c r="A38">
        <v>27</v>
      </c>
      <c r="B38" t="str">
        <f t="shared" si="0"/>
        <v>Kyle</v>
      </c>
      <c r="C38" s="10"/>
      <c r="D38" t="str">
        <f t="shared" si="1"/>
        <v/>
      </c>
      <c r="E38" s="11" t="str">
        <f t="shared" si="2"/>
        <v>Completar trabajo anterior</v>
      </c>
      <c r="F38">
        <f t="shared" si="3"/>
        <v>6</v>
      </c>
      <c r="G38">
        <f t="shared" si="4"/>
        <v>1</v>
      </c>
      <c r="H38">
        <f t="shared" si="5"/>
        <v>0</v>
      </c>
      <c r="I38">
        <f t="shared" si="6"/>
        <v>1</v>
      </c>
      <c r="J38">
        <f t="shared" si="7"/>
        <v>0</v>
      </c>
      <c r="K38">
        <f t="shared" si="8"/>
        <v>1</v>
      </c>
      <c r="L38">
        <f t="shared" si="9"/>
        <v>0</v>
      </c>
      <c r="M38">
        <f t="shared" si="10"/>
        <v>1</v>
      </c>
      <c r="N38">
        <f t="shared" si="11"/>
        <v>0</v>
      </c>
      <c r="O38">
        <f t="shared" si="12"/>
        <v>1</v>
      </c>
      <c r="P38">
        <f t="shared" si="13"/>
        <v>0</v>
      </c>
      <c r="Q38">
        <f t="shared" si="14"/>
        <v>1</v>
      </c>
      <c r="R38">
        <f t="shared" si="15"/>
        <v>0</v>
      </c>
    </row>
    <row r="39" spans="1:18" x14ac:dyDescent="0.25">
      <c r="A39">
        <v>28</v>
      </c>
      <c r="B39" t="str">
        <f t="shared" si="0"/>
        <v>Kyle</v>
      </c>
      <c r="C39" s="10"/>
      <c r="D39" t="str">
        <f t="shared" si="1"/>
        <v/>
      </c>
      <c r="E39" s="11" t="str">
        <f t="shared" si="2"/>
        <v>Completar trabajo anterior</v>
      </c>
      <c r="F39">
        <f t="shared" si="3"/>
        <v>6</v>
      </c>
      <c r="G39">
        <f t="shared" si="4"/>
        <v>1</v>
      </c>
      <c r="H39">
        <f t="shared" si="5"/>
        <v>0</v>
      </c>
      <c r="I39">
        <f t="shared" si="6"/>
        <v>1</v>
      </c>
      <c r="J39">
        <f t="shared" si="7"/>
        <v>0</v>
      </c>
      <c r="K39">
        <f t="shared" si="8"/>
        <v>1</v>
      </c>
      <c r="L39">
        <f t="shared" si="9"/>
        <v>0</v>
      </c>
      <c r="M39">
        <f t="shared" si="10"/>
        <v>1</v>
      </c>
      <c r="N39">
        <f t="shared" si="11"/>
        <v>0</v>
      </c>
      <c r="O39">
        <f t="shared" si="12"/>
        <v>1</v>
      </c>
      <c r="P39">
        <f t="shared" si="13"/>
        <v>0</v>
      </c>
      <c r="Q39">
        <f t="shared" si="14"/>
        <v>1</v>
      </c>
      <c r="R39">
        <f t="shared" si="15"/>
        <v>0</v>
      </c>
    </row>
    <row r="40" spans="1:18" x14ac:dyDescent="0.25">
      <c r="A40">
        <v>29</v>
      </c>
      <c r="B40" t="str">
        <f t="shared" si="0"/>
        <v>Kyle</v>
      </c>
      <c r="C40" s="10"/>
      <c r="D40" t="str">
        <f t="shared" si="1"/>
        <v/>
      </c>
      <c r="E40" s="11" t="str">
        <f t="shared" si="2"/>
        <v>Completar trabajo anterior</v>
      </c>
      <c r="F40">
        <f t="shared" si="3"/>
        <v>6</v>
      </c>
      <c r="G40">
        <f t="shared" si="4"/>
        <v>1</v>
      </c>
      <c r="H40">
        <f t="shared" si="5"/>
        <v>0</v>
      </c>
      <c r="I40">
        <f t="shared" si="6"/>
        <v>1</v>
      </c>
      <c r="J40">
        <f t="shared" si="7"/>
        <v>0</v>
      </c>
      <c r="K40">
        <f t="shared" si="8"/>
        <v>1</v>
      </c>
      <c r="L40">
        <f t="shared" si="9"/>
        <v>0</v>
      </c>
      <c r="M40">
        <f t="shared" si="10"/>
        <v>1</v>
      </c>
      <c r="N40">
        <f t="shared" si="11"/>
        <v>0</v>
      </c>
      <c r="O40">
        <f t="shared" si="12"/>
        <v>1</v>
      </c>
      <c r="P40">
        <f t="shared" si="13"/>
        <v>0</v>
      </c>
      <c r="Q40">
        <f t="shared" si="14"/>
        <v>1</v>
      </c>
      <c r="R40">
        <f t="shared" si="15"/>
        <v>0</v>
      </c>
    </row>
    <row r="41" spans="1:18" x14ac:dyDescent="0.25">
      <c r="A41">
        <v>30</v>
      </c>
      <c r="B41" t="str">
        <f t="shared" si="0"/>
        <v>Kyle</v>
      </c>
      <c r="C41" s="10"/>
      <c r="D41" t="str">
        <f t="shared" si="1"/>
        <v/>
      </c>
      <c r="E41" s="11" t="str">
        <f t="shared" si="2"/>
        <v>Completar trabajo anterior</v>
      </c>
      <c r="F41">
        <f t="shared" si="3"/>
        <v>6</v>
      </c>
      <c r="G41">
        <f t="shared" si="4"/>
        <v>1</v>
      </c>
      <c r="H41">
        <f t="shared" si="5"/>
        <v>0</v>
      </c>
      <c r="I41">
        <f t="shared" si="6"/>
        <v>1</v>
      </c>
      <c r="J41">
        <f t="shared" si="7"/>
        <v>0</v>
      </c>
      <c r="K41">
        <f t="shared" si="8"/>
        <v>1</v>
      </c>
      <c r="L41">
        <f t="shared" si="9"/>
        <v>0</v>
      </c>
      <c r="M41">
        <f t="shared" si="10"/>
        <v>1</v>
      </c>
      <c r="N41">
        <f t="shared" si="11"/>
        <v>0</v>
      </c>
      <c r="O41">
        <f t="shared" si="12"/>
        <v>1</v>
      </c>
      <c r="P41">
        <f t="shared" si="13"/>
        <v>0</v>
      </c>
      <c r="Q41">
        <f t="shared" si="14"/>
        <v>1</v>
      </c>
      <c r="R41">
        <f t="shared" si="15"/>
        <v>0</v>
      </c>
    </row>
    <row r="42" spans="1:18" x14ac:dyDescent="0.25">
      <c r="A42">
        <v>31</v>
      </c>
      <c r="B42" t="str">
        <f t="shared" si="0"/>
        <v>Kyle</v>
      </c>
      <c r="C42" s="10"/>
      <c r="D42" t="str">
        <f t="shared" si="1"/>
        <v/>
      </c>
      <c r="E42" s="11" t="str">
        <f t="shared" si="2"/>
        <v>Completar trabajo anterior</v>
      </c>
      <c r="F42">
        <f t="shared" si="3"/>
        <v>6</v>
      </c>
      <c r="G42">
        <f t="shared" si="4"/>
        <v>1</v>
      </c>
      <c r="H42">
        <f t="shared" si="5"/>
        <v>0</v>
      </c>
      <c r="I42">
        <f t="shared" si="6"/>
        <v>1</v>
      </c>
      <c r="J42">
        <f t="shared" si="7"/>
        <v>0</v>
      </c>
      <c r="K42">
        <f t="shared" si="8"/>
        <v>1</v>
      </c>
      <c r="L42">
        <f t="shared" si="9"/>
        <v>0</v>
      </c>
      <c r="M42">
        <f t="shared" si="10"/>
        <v>1</v>
      </c>
      <c r="N42">
        <f t="shared" si="11"/>
        <v>0</v>
      </c>
      <c r="O42">
        <f t="shared" si="12"/>
        <v>1</v>
      </c>
      <c r="P42">
        <f t="shared" si="13"/>
        <v>0</v>
      </c>
      <c r="Q42">
        <f t="shared" si="14"/>
        <v>1</v>
      </c>
      <c r="R42">
        <f t="shared" si="15"/>
        <v>0</v>
      </c>
    </row>
    <row r="43" spans="1:18" x14ac:dyDescent="0.25">
      <c r="A43">
        <v>32</v>
      </c>
      <c r="B43" t="str">
        <f t="shared" si="0"/>
        <v>Kyle</v>
      </c>
      <c r="C43" s="10"/>
      <c r="D43" t="str">
        <f t="shared" si="1"/>
        <v/>
      </c>
      <c r="E43" s="11" t="str">
        <f t="shared" si="2"/>
        <v>Completar trabajo anterior</v>
      </c>
      <c r="F43">
        <f t="shared" si="3"/>
        <v>6</v>
      </c>
      <c r="G43">
        <f t="shared" si="4"/>
        <v>1</v>
      </c>
      <c r="H43">
        <f t="shared" si="5"/>
        <v>0</v>
      </c>
      <c r="I43">
        <f t="shared" si="6"/>
        <v>1</v>
      </c>
      <c r="J43">
        <f t="shared" si="7"/>
        <v>0</v>
      </c>
      <c r="K43">
        <f t="shared" si="8"/>
        <v>1</v>
      </c>
      <c r="L43">
        <f t="shared" si="9"/>
        <v>0</v>
      </c>
      <c r="M43">
        <f t="shared" si="10"/>
        <v>1</v>
      </c>
      <c r="N43">
        <f t="shared" si="11"/>
        <v>0</v>
      </c>
      <c r="O43">
        <f t="shared" si="12"/>
        <v>1</v>
      </c>
      <c r="P43">
        <f t="shared" si="13"/>
        <v>0</v>
      </c>
      <c r="Q43">
        <f t="shared" si="14"/>
        <v>1</v>
      </c>
      <c r="R43">
        <f t="shared" si="15"/>
        <v>0</v>
      </c>
    </row>
    <row r="44" spans="1:18" x14ac:dyDescent="0.25">
      <c r="A44">
        <v>33</v>
      </c>
      <c r="B44" t="str">
        <f t="shared" si="0"/>
        <v>Kyle</v>
      </c>
      <c r="C44" s="10"/>
      <c r="D44" t="str">
        <f t="shared" si="1"/>
        <v/>
      </c>
      <c r="E44" s="11" t="str">
        <f t="shared" si="2"/>
        <v>Completar trabajo anterior</v>
      </c>
      <c r="F44">
        <f t="shared" si="3"/>
        <v>6</v>
      </c>
      <c r="G44">
        <f t="shared" si="4"/>
        <v>1</v>
      </c>
      <c r="H44">
        <f t="shared" si="5"/>
        <v>0</v>
      </c>
      <c r="I44">
        <f t="shared" si="6"/>
        <v>1</v>
      </c>
      <c r="J44">
        <f t="shared" si="7"/>
        <v>0</v>
      </c>
      <c r="K44">
        <f t="shared" si="8"/>
        <v>1</v>
      </c>
      <c r="L44">
        <f t="shared" si="9"/>
        <v>0</v>
      </c>
      <c r="M44">
        <f t="shared" si="10"/>
        <v>1</v>
      </c>
      <c r="N44">
        <f t="shared" si="11"/>
        <v>0</v>
      </c>
      <c r="O44">
        <f t="shared" si="12"/>
        <v>1</v>
      </c>
      <c r="P44">
        <f t="shared" si="13"/>
        <v>0</v>
      </c>
      <c r="Q44">
        <f t="shared" si="14"/>
        <v>1</v>
      </c>
      <c r="R44">
        <f t="shared" si="15"/>
        <v>0</v>
      </c>
    </row>
    <row r="45" spans="1:18" x14ac:dyDescent="0.25">
      <c r="A45">
        <v>34</v>
      </c>
      <c r="B45" t="str">
        <f t="shared" ref="B45:B76" si="16">IF(C44="SI",INDEX($B$4:$B$9,F45),
IF(AND(G45=1,M45=0),$B$4,
IF(AND(H45=1,N45=0),$B$5,
IF(AND(I45=1,O45=0),$B$6,
IF(AND(J45=1,P45=0),$B$7,
IF(AND(K45=1,Q45=0),$B$8,
IF(AND(L45=1,R45=0),$B$9,
INDEX($B$4:$B$9,F45))))))))</f>
        <v>Kyle</v>
      </c>
      <c r="C45" s="10"/>
      <c r="D45" t="str">
        <f t="shared" ref="D45:D76" si="17">IF(C45="","",IF(C44="NO",IF(C45="SI","REEMPLAZO","REEMPLAZO"),IF(C45="SI","NORMAL","RECHAZADO")))</f>
        <v/>
      </c>
      <c r="E45" s="11" t="str">
        <f t="shared" ref="E45:E76" si="18">IF(C44="SI","Siguiente en orden",IF(C44="NO","Buscando reemplazo...","Completar trabajo anterior"))</f>
        <v>Completar trabajo anterior</v>
      </c>
      <c r="F45">
        <f t="shared" ref="F45:F76" si="19">IF(OR(C44="SI"),IF(F44=6,1,F44+1),F44)</f>
        <v>6</v>
      </c>
      <c r="G45">
        <f t="shared" ref="G45:G76" si="20">IF(AND(F45=1,C45="SI",D45="NORMAL"),1,G44)</f>
        <v>1</v>
      </c>
      <c r="H45">
        <f t="shared" ref="H45:H76" si="21">IF(AND(F45=2,C45="SI",D45="NORMAL"),1,H44)</f>
        <v>0</v>
      </c>
      <c r="I45">
        <f t="shared" ref="I45:I76" si="22">IF(AND(F45=3,C45="SI",D45="NORMAL"),1,I44)</f>
        <v>1</v>
      </c>
      <c r="J45">
        <f t="shared" ref="J45:J76" si="23">IF(AND(F45=4,C45="SI",D45="NORMAL"),1,J44)</f>
        <v>0</v>
      </c>
      <c r="K45">
        <f t="shared" ref="K45:K76" si="24">IF(AND(F45=5,C45="SI",D45="NORMAL"),1,K44)</f>
        <v>1</v>
      </c>
      <c r="L45">
        <f t="shared" ref="L45:L76" si="25">IF(AND(F45=6,C45="SI",D45="NORMAL"),1,L44)</f>
        <v>0</v>
      </c>
      <c r="M45">
        <f t="shared" ref="M45:M76" si="26">IF(AND(B44=$B$4,D44="REEMPLAZO"),1,M44)</f>
        <v>1</v>
      </c>
      <c r="N45">
        <f t="shared" ref="N45:N76" si="27">IF(AND(B44=$B$5,D44="REEMPLAZO"),1,N44)</f>
        <v>0</v>
      </c>
      <c r="O45">
        <f t="shared" ref="O45:O76" si="28">IF(AND(B44=$B$6,D44="REEMPLAZO"),1,O44)</f>
        <v>1</v>
      </c>
      <c r="P45">
        <f t="shared" ref="P45:P76" si="29">IF(AND(B44=$B$7,D44="REEMPLAZO"),1,P44)</f>
        <v>0</v>
      </c>
      <c r="Q45">
        <f t="shared" ref="Q45:Q76" si="30">IF(AND(B44=$B$8,D44="REEMPLAZO"),1,Q44)</f>
        <v>1</v>
      </c>
      <c r="R45">
        <f t="shared" ref="R45:R76" si="31">IF(AND(B44=$B$9,D44="REEMPLAZO"),1,R44)</f>
        <v>0</v>
      </c>
    </row>
    <row r="46" spans="1:18" x14ac:dyDescent="0.25">
      <c r="A46">
        <v>35</v>
      </c>
      <c r="B46" t="str">
        <f t="shared" si="16"/>
        <v>Kyle</v>
      </c>
      <c r="C46" s="10"/>
      <c r="D46" t="str">
        <f t="shared" si="17"/>
        <v/>
      </c>
      <c r="E46" s="11" t="str">
        <f t="shared" si="18"/>
        <v>Completar trabajo anterior</v>
      </c>
      <c r="F46">
        <f t="shared" si="19"/>
        <v>6</v>
      </c>
      <c r="G46">
        <f t="shared" si="20"/>
        <v>1</v>
      </c>
      <c r="H46">
        <f t="shared" si="21"/>
        <v>0</v>
      </c>
      <c r="I46">
        <f t="shared" si="22"/>
        <v>1</v>
      </c>
      <c r="J46">
        <f t="shared" si="23"/>
        <v>0</v>
      </c>
      <c r="K46">
        <f t="shared" si="24"/>
        <v>1</v>
      </c>
      <c r="L46">
        <f t="shared" si="25"/>
        <v>0</v>
      </c>
      <c r="M46">
        <f t="shared" si="26"/>
        <v>1</v>
      </c>
      <c r="N46">
        <f t="shared" si="27"/>
        <v>0</v>
      </c>
      <c r="O46">
        <f t="shared" si="28"/>
        <v>1</v>
      </c>
      <c r="P46">
        <f t="shared" si="29"/>
        <v>0</v>
      </c>
      <c r="Q46">
        <f t="shared" si="30"/>
        <v>1</v>
      </c>
      <c r="R46">
        <f t="shared" si="31"/>
        <v>0</v>
      </c>
    </row>
    <row r="47" spans="1:18" x14ac:dyDescent="0.25">
      <c r="A47">
        <v>36</v>
      </c>
      <c r="B47" t="str">
        <f t="shared" si="16"/>
        <v>Kyle</v>
      </c>
      <c r="C47" s="10"/>
      <c r="D47" t="str">
        <f t="shared" si="17"/>
        <v/>
      </c>
      <c r="E47" s="11" t="str">
        <f t="shared" si="18"/>
        <v>Completar trabajo anterior</v>
      </c>
      <c r="F47">
        <f t="shared" si="19"/>
        <v>6</v>
      </c>
      <c r="G47">
        <f t="shared" si="20"/>
        <v>1</v>
      </c>
      <c r="H47">
        <f t="shared" si="21"/>
        <v>0</v>
      </c>
      <c r="I47">
        <f t="shared" si="22"/>
        <v>1</v>
      </c>
      <c r="J47">
        <f t="shared" si="23"/>
        <v>0</v>
      </c>
      <c r="K47">
        <f t="shared" si="24"/>
        <v>1</v>
      </c>
      <c r="L47">
        <f t="shared" si="25"/>
        <v>0</v>
      </c>
      <c r="M47">
        <f t="shared" si="26"/>
        <v>1</v>
      </c>
      <c r="N47">
        <f t="shared" si="27"/>
        <v>0</v>
      </c>
      <c r="O47">
        <f t="shared" si="28"/>
        <v>1</v>
      </c>
      <c r="P47">
        <f t="shared" si="29"/>
        <v>0</v>
      </c>
      <c r="Q47">
        <f t="shared" si="30"/>
        <v>1</v>
      </c>
      <c r="R47">
        <f t="shared" si="31"/>
        <v>0</v>
      </c>
    </row>
    <row r="48" spans="1:18" x14ac:dyDescent="0.25">
      <c r="A48">
        <v>37</v>
      </c>
      <c r="B48" t="str">
        <f t="shared" si="16"/>
        <v>Kyle</v>
      </c>
      <c r="C48" s="10"/>
      <c r="D48" t="str">
        <f t="shared" si="17"/>
        <v/>
      </c>
      <c r="E48" s="11" t="str">
        <f t="shared" si="18"/>
        <v>Completar trabajo anterior</v>
      </c>
      <c r="F48">
        <f t="shared" si="19"/>
        <v>6</v>
      </c>
      <c r="G48">
        <f t="shared" si="20"/>
        <v>1</v>
      </c>
      <c r="H48">
        <f t="shared" si="21"/>
        <v>0</v>
      </c>
      <c r="I48">
        <f t="shared" si="22"/>
        <v>1</v>
      </c>
      <c r="J48">
        <f t="shared" si="23"/>
        <v>0</v>
      </c>
      <c r="K48">
        <f t="shared" si="24"/>
        <v>1</v>
      </c>
      <c r="L48">
        <f t="shared" si="25"/>
        <v>0</v>
      </c>
      <c r="M48">
        <f t="shared" si="26"/>
        <v>1</v>
      </c>
      <c r="N48">
        <f t="shared" si="27"/>
        <v>0</v>
      </c>
      <c r="O48">
        <f t="shared" si="28"/>
        <v>1</v>
      </c>
      <c r="P48">
        <f t="shared" si="29"/>
        <v>0</v>
      </c>
      <c r="Q48">
        <f t="shared" si="30"/>
        <v>1</v>
      </c>
      <c r="R48">
        <f t="shared" si="31"/>
        <v>0</v>
      </c>
    </row>
    <row r="49" spans="1:18" x14ac:dyDescent="0.25">
      <c r="A49">
        <v>38</v>
      </c>
      <c r="B49" t="str">
        <f t="shared" si="16"/>
        <v>Kyle</v>
      </c>
      <c r="C49" s="10"/>
      <c r="D49" t="str">
        <f t="shared" si="17"/>
        <v/>
      </c>
      <c r="E49" s="11" t="str">
        <f t="shared" si="18"/>
        <v>Completar trabajo anterior</v>
      </c>
      <c r="F49">
        <f t="shared" si="19"/>
        <v>6</v>
      </c>
      <c r="G49">
        <f t="shared" si="20"/>
        <v>1</v>
      </c>
      <c r="H49">
        <f t="shared" si="21"/>
        <v>0</v>
      </c>
      <c r="I49">
        <f t="shared" si="22"/>
        <v>1</v>
      </c>
      <c r="J49">
        <f t="shared" si="23"/>
        <v>0</v>
      </c>
      <c r="K49">
        <f t="shared" si="24"/>
        <v>1</v>
      </c>
      <c r="L49">
        <f t="shared" si="25"/>
        <v>0</v>
      </c>
      <c r="M49">
        <f t="shared" si="26"/>
        <v>1</v>
      </c>
      <c r="N49">
        <f t="shared" si="27"/>
        <v>0</v>
      </c>
      <c r="O49">
        <f t="shared" si="28"/>
        <v>1</v>
      </c>
      <c r="P49">
        <f t="shared" si="29"/>
        <v>0</v>
      </c>
      <c r="Q49">
        <f t="shared" si="30"/>
        <v>1</v>
      </c>
      <c r="R49">
        <f t="shared" si="31"/>
        <v>0</v>
      </c>
    </row>
    <row r="50" spans="1:18" x14ac:dyDescent="0.25">
      <c r="A50">
        <v>39</v>
      </c>
      <c r="B50" t="str">
        <f t="shared" si="16"/>
        <v>Kyle</v>
      </c>
      <c r="C50" s="10"/>
      <c r="D50" t="str">
        <f t="shared" si="17"/>
        <v/>
      </c>
      <c r="E50" s="11" t="str">
        <f t="shared" si="18"/>
        <v>Completar trabajo anterior</v>
      </c>
      <c r="F50">
        <f t="shared" si="19"/>
        <v>6</v>
      </c>
      <c r="G50">
        <f t="shared" si="20"/>
        <v>1</v>
      </c>
      <c r="H50">
        <f t="shared" si="21"/>
        <v>0</v>
      </c>
      <c r="I50">
        <f t="shared" si="22"/>
        <v>1</v>
      </c>
      <c r="J50">
        <f t="shared" si="23"/>
        <v>0</v>
      </c>
      <c r="K50">
        <f t="shared" si="24"/>
        <v>1</v>
      </c>
      <c r="L50">
        <f t="shared" si="25"/>
        <v>0</v>
      </c>
      <c r="M50">
        <f t="shared" si="26"/>
        <v>1</v>
      </c>
      <c r="N50">
        <f t="shared" si="27"/>
        <v>0</v>
      </c>
      <c r="O50">
        <f t="shared" si="28"/>
        <v>1</v>
      </c>
      <c r="P50">
        <f t="shared" si="29"/>
        <v>0</v>
      </c>
      <c r="Q50">
        <f t="shared" si="30"/>
        <v>1</v>
      </c>
      <c r="R50">
        <f t="shared" si="31"/>
        <v>0</v>
      </c>
    </row>
    <row r="51" spans="1:18" x14ac:dyDescent="0.25">
      <c r="A51">
        <v>40</v>
      </c>
      <c r="B51" t="str">
        <f t="shared" si="16"/>
        <v>Kyle</v>
      </c>
      <c r="C51" s="10"/>
      <c r="D51" t="str">
        <f t="shared" si="17"/>
        <v/>
      </c>
      <c r="E51" s="11" t="str">
        <f t="shared" si="18"/>
        <v>Completar trabajo anterior</v>
      </c>
      <c r="F51">
        <f t="shared" si="19"/>
        <v>6</v>
      </c>
      <c r="G51">
        <f t="shared" si="20"/>
        <v>1</v>
      </c>
      <c r="H51">
        <f t="shared" si="21"/>
        <v>0</v>
      </c>
      <c r="I51">
        <f t="shared" si="22"/>
        <v>1</v>
      </c>
      <c r="J51">
        <f t="shared" si="23"/>
        <v>0</v>
      </c>
      <c r="K51">
        <f t="shared" si="24"/>
        <v>1</v>
      </c>
      <c r="L51">
        <f t="shared" si="25"/>
        <v>0</v>
      </c>
      <c r="M51">
        <f t="shared" si="26"/>
        <v>1</v>
      </c>
      <c r="N51">
        <f t="shared" si="27"/>
        <v>0</v>
      </c>
      <c r="O51">
        <f t="shared" si="28"/>
        <v>1</v>
      </c>
      <c r="P51">
        <f t="shared" si="29"/>
        <v>0</v>
      </c>
      <c r="Q51">
        <f t="shared" si="30"/>
        <v>1</v>
      </c>
      <c r="R51">
        <f t="shared" si="31"/>
        <v>0</v>
      </c>
    </row>
    <row r="52" spans="1:18" x14ac:dyDescent="0.25">
      <c r="A52">
        <v>41</v>
      </c>
      <c r="B52" t="str">
        <f t="shared" si="16"/>
        <v>Kyle</v>
      </c>
      <c r="C52" s="10"/>
      <c r="D52" t="str">
        <f t="shared" si="17"/>
        <v/>
      </c>
      <c r="E52" s="11" t="str">
        <f t="shared" si="18"/>
        <v>Completar trabajo anterior</v>
      </c>
      <c r="F52">
        <f t="shared" si="19"/>
        <v>6</v>
      </c>
      <c r="G52">
        <f t="shared" si="20"/>
        <v>1</v>
      </c>
      <c r="H52">
        <f t="shared" si="21"/>
        <v>0</v>
      </c>
      <c r="I52">
        <f t="shared" si="22"/>
        <v>1</v>
      </c>
      <c r="J52">
        <f t="shared" si="23"/>
        <v>0</v>
      </c>
      <c r="K52">
        <f t="shared" si="24"/>
        <v>1</v>
      </c>
      <c r="L52">
        <f t="shared" si="25"/>
        <v>0</v>
      </c>
      <c r="M52">
        <f t="shared" si="26"/>
        <v>1</v>
      </c>
      <c r="N52">
        <f t="shared" si="27"/>
        <v>0</v>
      </c>
      <c r="O52">
        <f t="shared" si="28"/>
        <v>1</v>
      </c>
      <c r="P52">
        <f t="shared" si="29"/>
        <v>0</v>
      </c>
      <c r="Q52">
        <f t="shared" si="30"/>
        <v>1</v>
      </c>
      <c r="R52">
        <f t="shared" si="31"/>
        <v>0</v>
      </c>
    </row>
    <row r="53" spans="1:18" x14ac:dyDescent="0.25">
      <c r="A53">
        <v>42</v>
      </c>
      <c r="B53" t="str">
        <f t="shared" si="16"/>
        <v>Kyle</v>
      </c>
      <c r="C53" s="10"/>
      <c r="D53" t="str">
        <f t="shared" si="17"/>
        <v/>
      </c>
      <c r="E53" s="11" t="str">
        <f t="shared" si="18"/>
        <v>Completar trabajo anterior</v>
      </c>
      <c r="F53">
        <f t="shared" si="19"/>
        <v>6</v>
      </c>
      <c r="G53">
        <f t="shared" si="20"/>
        <v>1</v>
      </c>
      <c r="H53">
        <f t="shared" si="21"/>
        <v>0</v>
      </c>
      <c r="I53">
        <f t="shared" si="22"/>
        <v>1</v>
      </c>
      <c r="J53">
        <f t="shared" si="23"/>
        <v>0</v>
      </c>
      <c r="K53">
        <f t="shared" si="24"/>
        <v>1</v>
      </c>
      <c r="L53">
        <f t="shared" si="25"/>
        <v>0</v>
      </c>
      <c r="M53">
        <f t="shared" si="26"/>
        <v>1</v>
      </c>
      <c r="N53">
        <f t="shared" si="27"/>
        <v>0</v>
      </c>
      <c r="O53">
        <f t="shared" si="28"/>
        <v>1</v>
      </c>
      <c r="P53">
        <f t="shared" si="29"/>
        <v>0</v>
      </c>
      <c r="Q53">
        <f t="shared" si="30"/>
        <v>1</v>
      </c>
      <c r="R53">
        <f t="shared" si="31"/>
        <v>0</v>
      </c>
    </row>
    <row r="54" spans="1:18" x14ac:dyDescent="0.25">
      <c r="A54">
        <v>43</v>
      </c>
      <c r="B54" t="str">
        <f t="shared" si="16"/>
        <v>Kyle</v>
      </c>
      <c r="C54" s="10"/>
      <c r="D54" t="str">
        <f t="shared" si="17"/>
        <v/>
      </c>
      <c r="E54" s="11" t="str">
        <f t="shared" si="18"/>
        <v>Completar trabajo anterior</v>
      </c>
      <c r="F54">
        <f t="shared" si="19"/>
        <v>6</v>
      </c>
      <c r="G54">
        <f t="shared" si="20"/>
        <v>1</v>
      </c>
      <c r="H54">
        <f t="shared" si="21"/>
        <v>0</v>
      </c>
      <c r="I54">
        <f t="shared" si="22"/>
        <v>1</v>
      </c>
      <c r="J54">
        <f t="shared" si="23"/>
        <v>0</v>
      </c>
      <c r="K54">
        <f t="shared" si="24"/>
        <v>1</v>
      </c>
      <c r="L54">
        <f t="shared" si="25"/>
        <v>0</v>
      </c>
      <c r="M54">
        <f t="shared" si="26"/>
        <v>1</v>
      </c>
      <c r="N54">
        <f t="shared" si="27"/>
        <v>0</v>
      </c>
      <c r="O54">
        <f t="shared" si="28"/>
        <v>1</v>
      </c>
      <c r="P54">
        <f t="shared" si="29"/>
        <v>0</v>
      </c>
      <c r="Q54">
        <f t="shared" si="30"/>
        <v>1</v>
      </c>
      <c r="R54">
        <f t="shared" si="31"/>
        <v>0</v>
      </c>
    </row>
    <row r="55" spans="1:18" x14ac:dyDescent="0.25">
      <c r="A55">
        <v>44</v>
      </c>
      <c r="B55" t="str">
        <f t="shared" si="16"/>
        <v>Kyle</v>
      </c>
      <c r="C55" s="10"/>
      <c r="D55" t="str">
        <f t="shared" si="17"/>
        <v/>
      </c>
      <c r="E55" s="11" t="str">
        <f t="shared" si="18"/>
        <v>Completar trabajo anterior</v>
      </c>
      <c r="F55">
        <f t="shared" si="19"/>
        <v>6</v>
      </c>
      <c r="G55">
        <f t="shared" si="20"/>
        <v>1</v>
      </c>
      <c r="H55">
        <f t="shared" si="21"/>
        <v>0</v>
      </c>
      <c r="I55">
        <f t="shared" si="22"/>
        <v>1</v>
      </c>
      <c r="J55">
        <f t="shared" si="23"/>
        <v>0</v>
      </c>
      <c r="K55">
        <f t="shared" si="24"/>
        <v>1</v>
      </c>
      <c r="L55">
        <f t="shared" si="25"/>
        <v>0</v>
      </c>
      <c r="M55">
        <f t="shared" si="26"/>
        <v>1</v>
      </c>
      <c r="N55">
        <f t="shared" si="27"/>
        <v>0</v>
      </c>
      <c r="O55">
        <f t="shared" si="28"/>
        <v>1</v>
      </c>
      <c r="P55">
        <f t="shared" si="29"/>
        <v>0</v>
      </c>
      <c r="Q55">
        <f t="shared" si="30"/>
        <v>1</v>
      </c>
      <c r="R55">
        <f t="shared" si="31"/>
        <v>0</v>
      </c>
    </row>
    <row r="56" spans="1:18" x14ac:dyDescent="0.25">
      <c r="A56">
        <v>45</v>
      </c>
      <c r="B56" t="str">
        <f t="shared" si="16"/>
        <v>Kyle</v>
      </c>
      <c r="C56" s="10"/>
      <c r="D56" t="str">
        <f t="shared" si="17"/>
        <v/>
      </c>
      <c r="E56" s="11" t="str">
        <f t="shared" si="18"/>
        <v>Completar trabajo anterior</v>
      </c>
      <c r="F56">
        <f t="shared" si="19"/>
        <v>6</v>
      </c>
      <c r="G56">
        <f t="shared" si="20"/>
        <v>1</v>
      </c>
      <c r="H56">
        <f t="shared" si="21"/>
        <v>0</v>
      </c>
      <c r="I56">
        <f t="shared" si="22"/>
        <v>1</v>
      </c>
      <c r="J56">
        <f t="shared" si="23"/>
        <v>0</v>
      </c>
      <c r="K56">
        <f t="shared" si="24"/>
        <v>1</v>
      </c>
      <c r="L56">
        <f t="shared" si="25"/>
        <v>0</v>
      </c>
      <c r="M56">
        <f t="shared" si="26"/>
        <v>1</v>
      </c>
      <c r="N56">
        <f t="shared" si="27"/>
        <v>0</v>
      </c>
      <c r="O56">
        <f t="shared" si="28"/>
        <v>1</v>
      </c>
      <c r="P56">
        <f t="shared" si="29"/>
        <v>0</v>
      </c>
      <c r="Q56">
        <f t="shared" si="30"/>
        <v>1</v>
      </c>
      <c r="R56">
        <f t="shared" si="31"/>
        <v>0</v>
      </c>
    </row>
    <row r="57" spans="1:18" x14ac:dyDescent="0.25">
      <c r="A57">
        <v>46</v>
      </c>
      <c r="B57" t="str">
        <f t="shared" si="16"/>
        <v>Kyle</v>
      </c>
      <c r="C57" s="10"/>
      <c r="D57" t="str">
        <f t="shared" si="17"/>
        <v/>
      </c>
      <c r="E57" s="11" t="str">
        <f t="shared" si="18"/>
        <v>Completar trabajo anterior</v>
      </c>
      <c r="F57">
        <f t="shared" si="19"/>
        <v>6</v>
      </c>
      <c r="G57">
        <f t="shared" si="20"/>
        <v>1</v>
      </c>
      <c r="H57">
        <f t="shared" si="21"/>
        <v>0</v>
      </c>
      <c r="I57">
        <f t="shared" si="22"/>
        <v>1</v>
      </c>
      <c r="J57">
        <f t="shared" si="23"/>
        <v>0</v>
      </c>
      <c r="K57">
        <f t="shared" si="24"/>
        <v>1</v>
      </c>
      <c r="L57">
        <f t="shared" si="25"/>
        <v>0</v>
      </c>
      <c r="M57">
        <f t="shared" si="26"/>
        <v>1</v>
      </c>
      <c r="N57">
        <f t="shared" si="27"/>
        <v>0</v>
      </c>
      <c r="O57">
        <f t="shared" si="28"/>
        <v>1</v>
      </c>
      <c r="P57">
        <f t="shared" si="29"/>
        <v>0</v>
      </c>
      <c r="Q57">
        <f t="shared" si="30"/>
        <v>1</v>
      </c>
      <c r="R57">
        <f t="shared" si="31"/>
        <v>0</v>
      </c>
    </row>
    <row r="58" spans="1:18" x14ac:dyDescent="0.25">
      <c r="A58">
        <v>47</v>
      </c>
      <c r="B58" t="str">
        <f t="shared" si="16"/>
        <v>Kyle</v>
      </c>
      <c r="C58" s="10"/>
      <c r="D58" t="str">
        <f t="shared" si="17"/>
        <v/>
      </c>
      <c r="E58" s="11" t="str">
        <f t="shared" si="18"/>
        <v>Completar trabajo anterior</v>
      </c>
      <c r="F58">
        <f t="shared" si="19"/>
        <v>6</v>
      </c>
      <c r="G58">
        <f t="shared" si="20"/>
        <v>1</v>
      </c>
      <c r="H58">
        <f t="shared" si="21"/>
        <v>0</v>
      </c>
      <c r="I58">
        <f t="shared" si="22"/>
        <v>1</v>
      </c>
      <c r="J58">
        <f t="shared" si="23"/>
        <v>0</v>
      </c>
      <c r="K58">
        <f t="shared" si="24"/>
        <v>1</v>
      </c>
      <c r="L58">
        <f t="shared" si="25"/>
        <v>0</v>
      </c>
      <c r="M58">
        <f t="shared" si="26"/>
        <v>1</v>
      </c>
      <c r="N58">
        <f t="shared" si="27"/>
        <v>0</v>
      </c>
      <c r="O58">
        <f t="shared" si="28"/>
        <v>1</v>
      </c>
      <c r="P58">
        <f t="shared" si="29"/>
        <v>0</v>
      </c>
      <c r="Q58">
        <f t="shared" si="30"/>
        <v>1</v>
      </c>
      <c r="R58">
        <f t="shared" si="31"/>
        <v>0</v>
      </c>
    </row>
    <row r="59" spans="1:18" x14ac:dyDescent="0.25">
      <c r="A59">
        <v>48</v>
      </c>
      <c r="B59" t="str">
        <f t="shared" si="16"/>
        <v>Kyle</v>
      </c>
      <c r="C59" s="10"/>
      <c r="D59" t="str">
        <f t="shared" si="17"/>
        <v/>
      </c>
      <c r="E59" s="11" t="str">
        <f t="shared" si="18"/>
        <v>Completar trabajo anterior</v>
      </c>
      <c r="F59">
        <f t="shared" si="19"/>
        <v>6</v>
      </c>
      <c r="G59">
        <f t="shared" si="20"/>
        <v>1</v>
      </c>
      <c r="H59">
        <f t="shared" si="21"/>
        <v>0</v>
      </c>
      <c r="I59">
        <f t="shared" si="22"/>
        <v>1</v>
      </c>
      <c r="J59">
        <f t="shared" si="23"/>
        <v>0</v>
      </c>
      <c r="K59">
        <f t="shared" si="24"/>
        <v>1</v>
      </c>
      <c r="L59">
        <f t="shared" si="25"/>
        <v>0</v>
      </c>
      <c r="M59">
        <f t="shared" si="26"/>
        <v>1</v>
      </c>
      <c r="N59">
        <f t="shared" si="27"/>
        <v>0</v>
      </c>
      <c r="O59">
        <f t="shared" si="28"/>
        <v>1</v>
      </c>
      <c r="P59">
        <f t="shared" si="29"/>
        <v>0</v>
      </c>
      <c r="Q59">
        <f t="shared" si="30"/>
        <v>1</v>
      </c>
      <c r="R59">
        <f t="shared" si="31"/>
        <v>0</v>
      </c>
    </row>
    <row r="60" spans="1:18" x14ac:dyDescent="0.25">
      <c r="A60">
        <v>49</v>
      </c>
      <c r="B60" t="str">
        <f t="shared" si="16"/>
        <v>Kyle</v>
      </c>
      <c r="C60" s="10"/>
      <c r="D60" t="str">
        <f t="shared" si="17"/>
        <v/>
      </c>
      <c r="E60" s="11" t="str">
        <f t="shared" si="18"/>
        <v>Completar trabajo anterior</v>
      </c>
      <c r="F60">
        <f t="shared" si="19"/>
        <v>6</v>
      </c>
      <c r="G60">
        <f t="shared" si="20"/>
        <v>1</v>
      </c>
      <c r="H60">
        <f t="shared" si="21"/>
        <v>0</v>
      </c>
      <c r="I60">
        <f t="shared" si="22"/>
        <v>1</v>
      </c>
      <c r="J60">
        <f t="shared" si="23"/>
        <v>0</v>
      </c>
      <c r="K60">
        <f t="shared" si="24"/>
        <v>1</v>
      </c>
      <c r="L60">
        <f t="shared" si="25"/>
        <v>0</v>
      </c>
      <c r="M60">
        <f t="shared" si="26"/>
        <v>1</v>
      </c>
      <c r="N60">
        <f t="shared" si="27"/>
        <v>0</v>
      </c>
      <c r="O60">
        <f t="shared" si="28"/>
        <v>1</v>
      </c>
      <c r="P60">
        <f t="shared" si="29"/>
        <v>0</v>
      </c>
      <c r="Q60">
        <f t="shared" si="30"/>
        <v>1</v>
      </c>
      <c r="R60">
        <f t="shared" si="31"/>
        <v>0</v>
      </c>
    </row>
    <row r="61" spans="1:18" x14ac:dyDescent="0.25">
      <c r="A61">
        <v>50</v>
      </c>
      <c r="B61" t="str">
        <f t="shared" si="16"/>
        <v>Kyle</v>
      </c>
      <c r="C61" s="10"/>
      <c r="D61" t="str">
        <f t="shared" si="17"/>
        <v/>
      </c>
      <c r="E61" s="11" t="str">
        <f t="shared" si="18"/>
        <v>Completar trabajo anterior</v>
      </c>
      <c r="F61">
        <f t="shared" si="19"/>
        <v>6</v>
      </c>
      <c r="G61">
        <f t="shared" si="20"/>
        <v>1</v>
      </c>
      <c r="H61">
        <f t="shared" si="21"/>
        <v>0</v>
      </c>
      <c r="I61">
        <f t="shared" si="22"/>
        <v>1</v>
      </c>
      <c r="J61">
        <f t="shared" si="23"/>
        <v>0</v>
      </c>
      <c r="K61">
        <f t="shared" si="24"/>
        <v>1</v>
      </c>
      <c r="L61">
        <f t="shared" si="25"/>
        <v>0</v>
      </c>
      <c r="M61">
        <f t="shared" si="26"/>
        <v>1</v>
      </c>
      <c r="N61">
        <f t="shared" si="27"/>
        <v>0</v>
      </c>
      <c r="O61">
        <f t="shared" si="28"/>
        <v>1</v>
      </c>
      <c r="P61">
        <f t="shared" si="29"/>
        <v>0</v>
      </c>
      <c r="Q61">
        <f t="shared" si="30"/>
        <v>1</v>
      </c>
      <c r="R61">
        <f t="shared" si="31"/>
        <v>0</v>
      </c>
    </row>
    <row r="62" spans="1:18" x14ac:dyDescent="0.25">
      <c r="A62">
        <v>51</v>
      </c>
      <c r="B62" t="str">
        <f t="shared" si="16"/>
        <v>Kyle</v>
      </c>
      <c r="C62" s="10"/>
      <c r="D62" t="str">
        <f t="shared" si="17"/>
        <v/>
      </c>
      <c r="E62" s="11" t="str">
        <f t="shared" si="18"/>
        <v>Completar trabajo anterior</v>
      </c>
      <c r="F62">
        <f t="shared" si="19"/>
        <v>6</v>
      </c>
      <c r="G62">
        <f t="shared" si="20"/>
        <v>1</v>
      </c>
      <c r="H62">
        <f t="shared" si="21"/>
        <v>0</v>
      </c>
      <c r="I62">
        <f t="shared" si="22"/>
        <v>1</v>
      </c>
      <c r="J62">
        <f t="shared" si="23"/>
        <v>0</v>
      </c>
      <c r="K62">
        <f t="shared" si="24"/>
        <v>1</v>
      </c>
      <c r="L62">
        <f t="shared" si="25"/>
        <v>0</v>
      </c>
      <c r="M62">
        <f t="shared" si="26"/>
        <v>1</v>
      </c>
      <c r="N62">
        <f t="shared" si="27"/>
        <v>0</v>
      </c>
      <c r="O62">
        <f t="shared" si="28"/>
        <v>1</v>
      </c>
      <c r="P62">
        <f t="shared" si="29"/>
        <v>0</v>
      </c>
      <c r="Q62">
        <f t="shared" si="30"/>
        <v>1</v>
      </c>
      <c r="R62">
        <f t="shared" si="31"/>
        <v>0</v>
      </c>
    </row>
    <row r="63" spans="1:18" x14ac:dyDescent="0.25">
      <c r="A63">
        <v>52</v>
      </c>
      <c r="B63" t="str">
        <f t="shared" si="16"/>
        <v>Kyle</v>
      </c>
      <c r="C63" s="10"/>
      <c r="D63" t="str">
        <f t="shared" si="17"/>
        <v/>
      </c>
      <c r="E63" s="11" t="str">
        <f t="shared" si="18"/>
        <v>Completar trabajo anterior</v>
      </c>
      <c r="F63">
        <f t="shared" si="19"/>
        <v>6</v>
      </c>
      <c r="G63">
        <f t="shared" si="20"/>
        <v>1</v>
      </c>
      <c r="H63">
        <f t="shared" si="21"/>
        <v>0</v>
      </c>
      <c r="I63">
        <f t="shared" si="22"/>
        <v>1</v>
      </c>
      <c r="J63">
        <f t="shared" si="23"/>
        <v>0</v>
      </c>
      <c r="K63">
        <f t="shared" si="24"/>
        <v>1</v>
      </c>
      <c r="L63">
        <f t="shared" si="25"/>
        <v>0</v>
      </c>
      <c r="M63">
        <f t="shared" si="26"/>
        <v>1</v>
      </c>
      <c r="N63">
        <f t="shared" si="27"/>
        <v>0</v>
      </c>
      <c r="O63">
        <f t="shared" si="28"/>
        <v>1</v>
      </c>
      <c r="P63">
        <f t="shared" si="29"/>
        <v>0</v>
      </c>
      <c r="Q63">
        <f t="shared" si="30"/>
        <v>1</v>
      </c>
      <c r="R63">
        <f t="shared" si="31"/>
        <v>0</v>
      </c>
    </row>
    <row r="64" spans="1:18" x14ac:dyDescent="0.25">
      <c r="A64">
        <v>53</v>
      </c>
      <c r="B64" t="str">
        <f t="shared" si="16"/>
        <v>Kyle</v>
      </c>
      <c r="C64" s="10"/>
      <c r="D64" t="str">
        <f t="shared" si="17"/>
        <v/>
      </c>
      <c r="E64" s="11" t="str">
        <f t="shared" si="18"/>
        <v>Completar trabajo anterior</v>
      </c>
      <c r="F64">
        <f t="shared" si="19"/>
        <v>6</v>
      </c>
      <c r="G64">
        <f t="shared" si="20"/>
        <v>1</v>
      </c>
      <c r="H64">
        <f t="shared" si="21"/>
        <v>0</v>
      </c>
      <c r="I64">
        <f t="shared" si="22"/>
        <v>1</v>
      </c>
      <c r="J64">
        <f t="shared" si="23"/>
        <v>0</v>
      </c>
      <c r="K64">
        <f t="shared" si="24"/>
        <v>1</v>
      </c>
      <c r="L64">
        <f t="shared" si="25"/>
        <v>0</v>
      </c>
      <c r="M64">
        <f t="shared" si="26"/>
        <v>1</v>
      </c>
      <c r="N64">
        <f t="shared" si="27"/>
        <v>0</v>
      </c>
      <c r="O64">
        <f t="shared" si="28"/>
        <v>1</v>
      </c>
      <c r="P64">
        <f t="shared" si="29"/>
        <v>0</v>
      </c>
      <c r="Q64">
        <f t="shared" si="30"/>
        <v>1</v>
      </c>
      <c r="R64">
        <f t="shared" si="31"/>
        <v>0</v>
      </c>
    </row>
    <row r="65" spans="1:18" x14ac:dyDescent="0.25">
      <c r="A65">
        <v>54</v>
      </c>
      <c r="B65" t="str">
        <f t="shared" si="16"/>
        <v>Kyle</v>
      </c>
      <c r="C65" s="10"/>
      <c r="D65" t="str">
        <f t="shared" si="17"/>
        <v/>
      </c>
      <c r="E65" s="11" t="str">
        <f t="shared" si="18"/>
        <v>Completar trabajo anterior</v>
      </c>
      <c r="F65">
        <f t="shared" si="19"/>
        <v>6</v>
      </c>
      <c r="G65">
        <f t="shared" si="20"/>
        <v>1</v>
      </c>
      <c r="H65">
        <f t="shared" si="21"/>
        <v>0</v>
      </c>
      <c r="I65">
        <f t="shared" si="22"/>
        <v>1</v>
      </c>
      <c r="J65">
        <f t="shared" si="23"/>
        <v>0</v>
      </c>
      <c r="K65">
        <f t="shared" si="24"/>
        <v>1</v>
      </c>
      <c r="L65">
        <f t="shared" si="25"/>
        <v>0</v>
      </c>
      <c r="M65">
        <f t="shared" si="26"/>
        <v>1</v>
      </c>
      <c r="N65">
        <f t="shared" si="27"/>
        <v>0</v>
      </c>
      <c r="O65">
        <f t="shared" si="28"/>
        <v>1</v>
      </c>
      <c r="P65">
        <f t="shared" si="29"/>
        <v>0</v>
      </c>
      <c r="Q65">
        <f t="shared" si="30"/>
        <v>1</v>
      </c>
      <c r="R65">
        <f t="shared" si="31"/>
        <v>0</v>
      </c>
    </row>
    <row r="66" spans="1:18" x14ac:dyDescent="0.25">
      <c r="A66">
        <v>55</v>
      </c>
      <c r="B66" t="str">
        <f t="shared" si="16"/>
        <v>Kyle</v>
      </c>
      <c r="C66" s="10"/>
      <c r="D66" t="str">
        <f t="shared" si="17"/>
        <v/>
      </c>
      <c r="E66" s="11" t="str">
        <f t="shared" si="18"/>
        <v>Completar trabajo anterior</v>
      </c>
      <c r="F66">
        <f t="shared" si="19"/>
        <v>6</v>
      </c>
      <c r="G66">
        <f t="shared" si="20"/>
        <v>1</v>
      </c>
      <c r="H66">
        <f t="shared" si="21"/>
        <v>0</v>
      </c>
      <c r="I66">
        <f t="shared" si="22"/>
        <v>1</v>
      </c>
      <c r="J66">
        <f t="shared" si="23"/>
        <v>0</v>
      </c>
      <c r="K66">
        <f t="shared" si="24"/>
        <v>1</v>
      </c>
      <c r="L66">
        <f t="shared" si="25"/>
        <v>0</v>
      </c>
      <c r="M66">
        <f t="shared" si="26"/>
        <v>1</v>
      </c>
      <c r="N66">
        <f t="shared" si="27"/>
        <v>0</v>
      </c>
      <c r="O66">
        <f t="shared" si="28"/>
        <v>1</v>
      </c>
      <c r="P66">
        <f t="shared" si="29"/>
        <v>0</v>
      </c>
      <c r="Q66">
        <f t="shared" si="30"/>
        <v>1</v>
      </c>
      <c r="R66">
        <f t="shared" si="31"/>
        <v>0</v>
      </c>
    </row>
    <row r="67" spans="1:18" x14ac:dyDescent="0.25">
      <c r="A67">
        <v>56</v>
      </c>
      <c r="B67" t="str">
        <f t="shared" si="16"/>
        <v>Kyle</v>
      </c>
      <c r="C67" s="10"/>
      <c r="D67" t="str">
        <f t="shared" si="17"/>
        <v/>
      </c>
      <c r="E67" s="11" t="str">
        <f t="shared" si="18"/>
        <v>Completar trabajo anterior</v>
      </c>
      <c r="F67">
        <f t="shared" si="19"/>
        <v>6</v>
      </c>
      <c r="G67">
        <f t="shared" si="20"/>
        <v>1</v>
      </c>
      <c r="H67">
        <f t="shared" si="21"/>
        <v>0</v>
      </c>
      <c r="I67">
        <f t="shared" si="22"/>
        <v>1</v>
      </c>
      <c r="J67">
        <f t="shared" si="23"/>
        <v>0</v>
      </c>
      <c r="K67">
        <f t="shared" si="24"/>
        <v>1</v>
      </c>
      <c r="L67">
        <f t="shared" si="25"/>
        <v>0</v>
      </c>
      <c r="M67">
        <f t="shared" si="26"/>
        <v>1</v>
      </c>
      <c r="N67">
        <f t="shared" si="27"/>
        <v>0</v>
      </c>
      <c r="O67">
        <f t="shared" si="28"/>
        <v>1</v>
      </c>
      <c r="P67">
        <f t="shared" si="29"/>
        <v>0</v>
      </c>
      <c r="Q67">
        <f t="shared" si="30"/>
        <v>1</v>
      </c>
      <c r="R67">
        <f t="shared" si="31"/>
        <v>0</v>
      </c>
    </row>
    <row r="68" spans="1:18" x14ac:dyDescent="0.25">
      <c r="A68">
        <v>57</v>
      </c>
      <c r="B68" t="str">
        <f t="shared" si="16"/>
        <v>Kyle</v>
      </c>
      <c r="C68" s="10"/>
      <c r="D68" t="str">
        <f t="shared" si="17"/>
        <v/>
      </c>
      <c r="E68" s="11" t="str">
        <f t="shared" si="18"/>
        <v>Completar trabajo anterior</v>
      </c>
      <c r="F68">
        <f t="shared" si="19"/>
        <v>6</v>
      </c>
      <c r="G68">
        <f t="shared" si="20"/>
        <v>1</v>
      </c>
      <c r="H68">
        <f t="shared" si="21"/>
        <v>0</v>
      </c>
      <c r="I68">
        <f t="shared" si="22"/>
        <v>1</v>
      </c>
      <c r="J68">
        <f t="shared" si="23"/>
        <v>0</v>
      </c>
      <c r="K68">
        <f t="shared" si="24"/>
        <v>1</v>
      </c>
      <c r="L68">
        <f t="shared" si="25"/>
        <v>0</v>
      </c>
      <c r="M68">
        <f t="shared" si="26"/>
        <v>1</v>
      </c>
      <c r="N68">
        <f t="shared" si="27"/>
        <v>0</v>
      </c>
      <c r="O68">
        <f t="shared" si="28"/>
        <v>1</v>
      </c>
      <c r="P68">
        <f t="shared" si="29"/>
        <v>0</v>
      </c>
      <c r="Q68">
        <f t="shared" si="30"/>
        <v>1</v>
      </c>
      <c r="R68">
        <f t="shared" si="31"/>
        <v>0</v>
      </c>
    </row>
    <row r="69" spans="1:18" x14ac:dyDescent="0.25">
      <c r="A69">
        <v>58</v>
      </c>
      <c r="B69" t="str">
        <f t="shared" si="16"/>
        <v>Kyle</v>
      </c>
      <c r="C69" s="10"/>
      <c r="D69" t="str">
        <f t="shared" si="17"/>
        <v/>
      </c>
      <c r="E69" s="11" t="str">
        <f t="shared" si="18"/>
        <v>Completar trabajo anterior</v>
      </c>
      <c r="F69">
        <f t="shared" si="19"/>
        <v>6</v>
      </c>
      <c r="G69">
        <f t="shared" si="20"/>
        <v>1</v>
      </c>
      <c r="H69">
        <f t="shared" si="21"/>
        <v>0</v>
      </c>
      <c r="I69">
        <f t="shared" si="22"/>
        <v>1</v>
      </c>
      <c r="J69">
        <f t="shared" si="23"/>
        <v>0</v>
      </c>
      <c r="K69">
        <f t="shared" si="24"/>
        <v>1</v>
      </c>
      <c r="L69">
        <f t="shared" si="25"/>
        <v>0</v>
      </c>
      <c r="M69">
        <f t="shared" si="26"/>
        <v>1</v>
      </c>
      <c r="N69">
        <f t="shared" si="27"/>
        <v>0</v>
      </c>
      <c r="O69">
        <f t="shared" si="28"/>
        <v>1</v>
      </c>
      <c r="P69">
        <f t="shared" si="29"/>
        <v>0</v>
      </c>
      <c r="Q69">
        <f t="shared" si="30"/>
        <v>1</v>
      </c>
      <c r="R69">
        <f t="shared" si="31"/>
        <v>0</v>
      </c>
    </row>
    <row r="70" spans="1:18" x14ac:dyDescent="0.25">
      <c r="A70">
        <v>59</v>
      </c>
      <c r="B70" t="str">
        <f t="shared" si="16"/>
        <v>Kyle</v>
      </c>
      <c r="C70" s="10"/>
      <c r="D70" t="str">
        <f t="shared" si="17"/>
        <v/>
      </c>
      <c r="E70" s="11" t="str">
        <f t="shared" si="18"/>
        <v>Completar trabajo anterior</v>
      </c>
      <c r="F70">
        <f t="shared" si="19"/>
        <v>6</v>
      </c>
      <c r="G70">
        <f t="shared" si="20"/>
        <v>1</v>
      </c>
      <c r="H70">
        <f t="shared" si="21"/>
        <v>0</v>
      </c>
      <c r="I70">
        <f t="shared" si="22"/>
        <v>1</v>
      </c>
      <c r="J70">
        <f t="shared" si="23"/>
        <v>0</v>
      </c>
      <c r="K70">
        <f t="shared" si="24"/>
        <v>1</v>
      </c>
      <c r="L70">
        <f t="shared" si="25"/>
        <v>0</v>
      </c>
      <c r="M70">
        <f t="shared" si="26"/>
        <v>1</v>
      </c>
      <c r="N70">
        <f t="shared" si="27"/>
        <v>0</v>
      </c>
      <c r="O70">
        <f t="shared" si="28"/>
        <v>1</v>
      </c>
      <c r="P70">
        <f t="shared" si="29"/>
        <v>0</v>
      </c>
      <c r="Q70">
        <f t="shared" si="30"/>
        <v>1</v>
      </c>
      <c r="R70">
        <f t="shared" si="31"/>
        <v>0</v>
      </c>
    </row>
    <row r="71" spans="1:18" x14ac:dyDescent="0.25">
      <c r="A71">
        <v>60</v>
      </c>
      <c r="B71" t="str">
        <f t="shared" si="16"/>
        <v>Kyle</v>
      </c>
      <c r="C71" s="10"/>
      <c r="D71" t="str">
        <f t="shared" si="17"/>
        <v/>
      </c>
      <c r="E71" s="11" t="str">
        <f t="shared" si="18"/>
        <v>Completar trabajo anterior</v>
      </c>
      <c r="F71">
        <f t="shared" si="19"/>
        <v>6</v>
      </c>
      <c r="G71">
        <f t="shared" si="20"/>
        <v>1</v>
      </c>
      <c r="H71">
        <f t="shared" si="21"/>
        <v>0</v>
      </c>
      <c r="I71">
        <f t="shared" si="22"/>
        <v>1</v>
      </c>
      <c r="J71">
        <f t="shared" si="23"/>
        <v>0</v>
      </c>
      <c r="K71">
        <f t="shared" si="24"/>
        <v>1</v>
      </c>
      <c r="L71">
        <f t="shared" si="25"/>
        <v>0</v>
      </c>
      <c r="M71">
        <f t="shared" si="26"/>
        <v>1</v>
      </c>
      <c r="N71">
        <f t="shared" si="27"/>
        <v>0</v>
      </c>
      <c r="O71">
        <f t="shared" si="28"/>
        <v>1</v>
      </c>
      <c r="P71">
        <f t="shared" si="29"/>
        <v>0</v>
      </c>
      <c r="Q71">
        <f t="shared" si="30"/>
        <v>1</v>
      </c>
      <c r="R71">
        <f t="shared" si="31"/>
        <v>0</v>
      </c>
    </row>
    <row r="72" spans="1:18" x14ac:dyDescent="0.25">
      <c r="A72">
        <v>61</v>
      </c>
      <c r="B72" t="str">
        <f t="shared" si="16"/>
        <v>Kyle</v>
      </c>
      <c r="C72" s="10"/>
      <c r="D72" t="str">
        <f t="shared" si="17"/>
        <v/>
      </c>
      <c r="E72" s="11" t="str">
        <f t="shared" si="18"/>
        <v>Completar trabajo anterior</v>
      </c>
      <c r="F72">
        <f t="shared" si="19"/>
        <v>6</v>
      </c>
      <c r="G72">
        <f t="shared" si="20"/>
        <v>1</v>
      </c>
      <c r="H72">
        <f t="shared" si="21"/>
        <v>0</v>
      </c>
      <c r="I72">
        <f t="shared" si="22"/>
        <v>1</v>
      </c>
      <c r="J72">
        <f t="shared" si="23"/>
        <v>0</v>
      </c>
      <c r="K72">
        <f t="shared" si="24"/>
        <v>1</v>
      </c>
      <c r="L72">
        <f t="shared" si="25"/>
        <v>0</v>
      </c>
      <c r="M72">
        <f t="shared" si="26"/>
        <v>1</v>
      </c>
      <c r="N72">
        <f t="shared" si="27"/>
        <v>0</v>
      </c>
      <c r="O72">
        <f t="shared" si="28"/>
        <v>1</v>
      </c>
      <c r="P72">
        <f t="shared" si="29"/>
        <v>0</v>
      </c>
      <c r="Q72">
        <f t="shared" si="30"/>
        <v>1</v>
      </c>
      <c r="R72">
        <f t="shared" si="31"/>
        <v>0</v>
      </c>
    </row>
    <row r="73" spans="1:18" x14ac:dyDescent="0.25">
      <c r="A73">
        <v>62</v>
      </c>
      <c r="B73" t="str">
        <f t="shared" si="16"/>
        <v>Kyle</v>
      </c>
      <c r="C73" s="10"/>
      <c r="D73" t="str">
        <f t="shared" si="17"/>
        <v/>
      </c>
      <c r="E73" s="11" t="str">
        <f t="shared" si="18"/>
        <v>Completar trabajo anterior</v>
      </c>
      <c r="F73">
        <f t="shared" si="19"/>
        <v>6</v>
      </c>
      <c r="G73">
        <f t="shared" si="20"/>
        <v>1</v>
      </c>
      <c r="H73">
        <f t="shared" si="21"/>
        <v>0</v>
      </c>
      <c r="I73">
        <f t="shared" si="22"/>
        <v>1</v>
      </c>
      <c r="J73">
        <f t="shared" si="23"/>
        <v>0</v>
      </c>
      <c r="K73">
        <f t="shared" si="24"/>
        <v>1</v>
      </c>
      <c r="L73">
        <f t="shared" si="25"/>
        <v>0</v>
      </c>
      <c r="M73">
        <f t="shared" si="26"/>
        <v>1</v>
      </c>
      <c r="N73">
        <f t="shared" si="27"/>
        <v>0</v>
      </c>
      <c r="O73">
        <f t="shared" si="28"/>
        <v>1</v>
      </c>
      <c r="P73">
        <f t="shared" si="29"/>
        <v>0</v>
      </c>
      <c r="Q73">
        <f t="shared" si="30"/>
        <v>1</v>
      </c>
      <c r="R73">
        <f t="shared" si="31"/>
        <v>0</v>
      </c>
    </row>
    <row r="74" spans="1:18" x14ac:dyDescent="0.25">
      <c r="A74">
        <v>63</v>
      </c>
      <c r="B74" t="str">
        <f t="shared" si="16"/>
        <v>Kyle</v>
      </c>
      <c r="C74" s="10"/>
      <c r="D74" t="str">
        <f t="shared" si="17"/>
        <v/>
      </c>
      <c r="E74" s="11" t="str">
        <f t="shared" si="18"/>
        <v>Completar trabajo anterior</v>
      </c>
      <c r="F74">
        <f t="shared" si="19"/>
        <v>6</v>
      </c>
      <c r="G74">
        <f t="shared" si="20"/>
        <v>1</v>
      </c>
      <c r="H74">
        <f t="shared" si="21"/>
        <v>0</v>
      </c>
      <c r="I74">
        <f t="shared" si="22"/>
        <v>1</v>
      </c>
      <c r="J74">
        <f t="shared" si="23"/>
        <v>0</v>
      </c>
      <c r="K74">
        <f t="shared" si="24"/>
        <v>1</v>
      </c>
      <c r="L74">
        <f t="shared" si="25"/>
        <v>0</v>
      </c>
      <c r="M74">
        <f t="shared" si="26"/>
        <v>1</v>
      </c>
      <c r="N74">
        <f t="shared" si="27"/>
        <v>0</v>
      </c>
      <c r="O74">
        <f t="shared" si="28"/>
        <v>1</v>
      </c>
      <c r="P74">
        <f t="shared" si="29"/>
        <v>0</v>
      </c>
      <c r="Q74">
        <f t="shared" si="30"/>
        <v>1</v>
      </c>
      <c r="R74">
        <f t="shared" si="31"/>
        <v>0</v>
      </c>
    </row>
    <row r="75" spans="1:18" x14ac:dyDescent="0.25">
      <c r="A75">
        <v>64</v>
      </c>
      <c r="B75" t="str">
        <f t="shared" si="16"/>
        <v>Kyle</v>
      </c>
      <c r="C75" s="10"/>
      <c r="D75" t="str">
        <f t="shared" si="17"/>
        <v/>
      </c>
      <c r="E75" s="11" t="str">
        <f t="shared" si="18"/>
        <v>Completar trabajo anterior</v>
      </c>
      <c r="F75">
        <f t="shared" si="19"/>
        <v>6</v>
      </c>
      <c r="G75">
        <f t="shared" si="20"/>
        <v>1</v>
      </c>
      <c r="H75">
        <f t="shared" si="21"/>
        <v>0</v>
      </c>
      <c r="I75">
        <f t="shared" si="22"/>
        <v>1</v>
      </c>
      <c r="J75">
        <f t="shared" si="23"/>
        <v>0</v>
      </c>
      <c r="K75">
        <f t="shared" si="24"/>
        <v>1</v>
      </c>
      <c r="L75">
        <f t="shared" si="25"/>
        <v>0</v>
      </c>
      <c r="M75">
        <f t="shared" si="26"/>
        <v>1</v>
      </c>
      <c r="N75">
        <f t="shared" si="27"/>
        <v>0</v>
      </c>
      <c r="O75">
        <f t="shared" si="28"/>
        <v>1</v>
      </c>
      <c r="P75">
        <f t="shared" si="29"/>
        <v>0</v>
      </c>
      <c r="Q75">
        <f t="shared" si="30"/>
        <v>1</v>
      </c>
      <c r="R75">
        <f t="shared" si="31"/>
        <v>0</v>
      </c>
    </row>
    <row r="76" spans="1:18" x14ac:dyDescent="0.25">
      <c r="A76">
        <v>65</v>
      </c>
      <c r="B76" t="str">
        <f t="shared" si="16"/>
        <v>Kyle</v>
      </c>
      <c r="C76" s="10"/>
      <c r="D76" t="str">
        <f t="shared" si="17"/>
        <v/>
      </c>
      <c r="E76" s="11" t="str">
        <f t="shared" si="18"/>
        <v>Completar trabajo anterior</v>
      </c>
      <c r="F76">
        <f t="shared" si="19"/>
        <v>6</v>
      </c>
      <c r="G76">
        <f t="shared" si="20"/>
        <v>1</v>
      </c>
      <c r="H76">
        <f t="shared" si="21"/>
        <v>0</v>
      </c>
      <c r="I76">
        <f t="shared" si="22"/>
        <v>1</v>
      </c>
      <c r="J76">
        <f t="shared" si="23"/>
        <v>0</v>
      </c>
      <c r="K76">
        <f t="shared" si="24"/>
        <v>1</v>
      </c>
      <c r="L76">
        <f t="shared" si="25"/>
        <v>0</v>
      </c>
      <c r="M76">
        <f t="shared" si="26"/>
        <v>1</v>
      </c>
      <c r="N76">
        <f t="shared" si="27"/>
        <v>0</v>
      </c>
      <c r="O76">
        <f t="shared" si="28"/>
        <v>1</v>
      </c>
      <c r="P76">
        <f t="shared" si="29"/>
        <v>0</v>
      </c>
      <c r="Q76">
        <f t="shared" si="30"/>
        <v>1</v>
      </c>
      <c r="R76">
        <f t="shared" si="31"/>
        <v>0</v>
      </c>
    </row>
    <row r="77" spans="1:18" x14ac:dyDescent="0.25">
      <c r="A77">
        <v>66</v>
      </c>
      <c r="B77" t="str">
        <f t="shared" ref="B77:B111" si="32">IF(C76="SI",INDEX($B$4:$B$9,F77),
IF(AND(G77=1,M77=0),$B$4,
IF(AND(H77=1,N77=0),$B$5,
IF(AND(I77=1,O77=0),$B$6,
IF(AND(J77=1,P77=0),$B$7,
IF(AND(K77=1,Q77=0),$B$8,
IF(AND(L77=1,R77=0),$B$9,
INDEX($B$4:$B$9,F77))))))))</f>
        <v>Kyle</v>
      </c>
      <c r="C77" s="10"/>
      <c r="D77" t="str">
        <f t="shared" ref="D77:D108" si="33">IF(C77="","",IF(C76="NO",IF(C77="SI","REEMPLAZO","REEMPLAZO"),IF(C77="SI","NORMAL","RECHAZADO")))</f>
        <v/>
      </c>
      <c r="E77" s="11" t="str">
        <f t="shared" ref="E77:E111" si="34">IF(C76="SI","Siguiente en orden",IF(C76="NO","Buscando reemplazo...","Completar trabajo anterior"))</f>
        <v>Completar trabajo anterior</v>
      </c>
      <c r="F77">
        <f t="shared" ref="F77:F111" si="35">IF(OR(C76="SI"),IF(F76=6,1,F76+1),F76)</f>
        <v>6</v>
      </c>
      <c r="G77">
        <f t="shared" ref="G77:G108" si="36">IF(AND(F77=1,C77="SI",D77="NORMAL"),1,G76)</f>
        <v>1</v>
      </c>
      <c r="H77">
        <f t="shared" ref="H77:H111" si="37">IF(AND(F77=2,C77="SI",D77="NORMAL"),1,H76)</f>
        <v>0</v>
      </c>
      <c r="I77">
        <f t="shared" ref="I77:I111" si="38">IF(AND(F77=3,C77="SI",D77="NORMAL"),1,I76)</f>
        <v>1</v>
      </c>
      <c r="J77">
        <f t="shared" ref="J77:J111" si="39">IF(AND(F77=4,C77="SI",D77="NORMAL"),1,J76)</f>
        <v>0</v>
      </c>
      <c r="K77">
        <f t="shared" ref="K77:K111" si="40">IF(AND(F77=5,C77="SI",D77="NORMAL"),1,K76)</f>
        <v>1</v>
      </c>
      <c r="L77">
        <f t="shared" ref="L77:L111" si="41">IF(AND(F77=6,C77="SI",D77="NORMAL"),1,L76)</f>
        <v>0</v>
      </c>
      <c r="M77">
        <f t="shared" ref="M77:M111" si="42">IF(AND(B76=$B$4,D76="REEMPLAZO"),1,M76)</f>
        <v>1</v>
      </c>
      <c r="N77">
        <f t="shared" ref="N77:N111" si="43">IF(AND(B76=$B$5,D76="REEMPLAZO"),1,N76)</f>
        <v>0</v>
      </c>
      <c r="O77">
        <f t="shared" ref="O77:O111" si="44">IF(AND(B76=$B$6,D76="REEMPLAZO"),1,O76)</f>
        <v>1</v>
      </c>
      <c r="P77">
        <f t="shared" ref="P77:P111" si="45">IF(AND(B76=$B$7,D76="REEMPLAZO"),1,P76)</f>
        <v>0</v>
      </c>
      <c r="Q77">
        <f t="shared" ref="Q77:Q111" si="46">IF(AND(B76=$B$8,D76="REEMPLAZO"),1,Q76)</f>
        <v>1</v>
      </c>
      <c r="R77">
        <f t="shared" ref="R77:R111" si="47">IF(AND(B76=$B$9,D76="REEMPLAZO"),1,R76)</f>
        <v>0</v>
      </c>
    </row>
    <row r="78" spans="1:18" x14ac:dyDescent="0.25">
      <c r="A78">
        <v>67</v>
      </c>
      <c r="B78" t="str">
        <f t="shared" si="32"/>
        <v>Kyle</v>
      </c>
      <c r="C78" s="10"/>
      <c r="D78" t="str">
        <f t="shared" si="33"/>
        <v/>
      </c>
      <c r="E78" s="11" t="str">
        <f t="shared" si="34"/>
        <v>Completar trabajo anterior</v>
      </c>
      <c r="F78">
        <f t="shared" si="35"/>
        <v>6</v>
      </c>
      <c r="G78">
        <f t="shared" si="36"/>
        <v>1</v>
      </c>
      <c r="H78">
        <f t="shared" si="37"/>
        <v>0</v>
      </c>
      <c r="I78">
        <f t="shared" si="38"/>
        <v>1</v>
      </c>
      <c r="J78">
        <f t="shared" si="39"/>
        <v>0</v>
      </c>
      <c r="K78">
        <f t="shared" si="40"/>
        <v>1</v>
      </c>
      <c r="L78">
        <f t="shared" si="41"/>
        <v>0</v>
      </c>
      <c r="M78">
        <f t="shared" si="42"/>
        <v>1</v>
      </c>
      <c r="N78">
        <f t="shared" si="43"/>
        <v>0</v>
      </c>
      <c r="O78">
        <f t="shared" si="44"/>
        <v>1</v>
      </c>
      <c r="P78">
        <f t="shared" si="45"/>
        <v>0</v>
      </c>
      <c r="Q78">
        <f t="shared" si="46"/>
        <v>1</v>
      </c>
      <c r="R78">
        <f t="shared" si="47"/>
        <v>0</v>
      </c>
    </row>
    <row r="79" spans="1:18" x14ac:dyDescent="0.25">
      <c r="A79">
        <v>68</v>
      </c>
      <c r="B79" t="str">
        <f t="shared" si="32"/>
        <v>Kyle</v>
      </c>
      <c r="C79" s="10"/>
      <c r="D79" t="str">
        <f t="shared" si="33"/>
        <v/>
      </c>
      <c r="E79" s="11" t="str">
        <f t="shared" si="34"/>
        <v>Completar trabajo anterior</v>
      </c>
      <c r="F79">
        <f t="shared" si="35"/>
        <v>6</v>
      </c>
      <c r="G79">
        <f t="shared" si="36"/>
        <v>1</v>
      </c>
      <c r="H79">
        <f t="shared" si="37"/>
        <v>0</v>
      </c>
      <c r="I79">
        <f t="shared" si="38"/>
        <v>1</v>
      </c>
      <c r="J79">
        <f t="shared" si="39"/>
        <v>0</v>
      </c>
      <c r="K79">
        <f t="shared" si="40"/>
        <v>1</v>
      </c>
      <c r="L79">
        <f t="shared" si="41"/>
        <v>0</v>
      </c>
      <c r="M79">
        <f t="shared" si="42"/>
        <v>1</v>
      </c>
      <c r="N79">
        <f t="shared" si="43"/>
        <v>0</v>
      </c>
      <c r="O79">
        <f t="shared" si="44"/>
        <v>1</v>
      </c>
      <c r="P79">
        <f t="shared" si="45"/>
        <v>0</v>
      </c>
      <c r="Q79">
        <f t="shared" si="46"/>
        <v>1</v>
      </c>
      <c r="R79">
        <f t="shared" si="47"/>
        <v>0</v>
      </c>
    </row>
    <row r="80" spans="1:18" x14ac:dyDescent="0.25">
      <c r="A80">
        <v>69</v>
      </c>
      <c r="B80" t="str">
        <f t="shared" si="32"/>
        <v>Kyle</v>
      </c>
      <c r="C80" s="10"/>
      <c r="D80" t="str">
        <f t="shared" si="33"/>
        <v/>
      </c>
      <c r="E80" s="11" t="str">
        <f t="shared" si="34"/>
        <v>Completar trabajo anterior</v>
      </c>
      <c r="F80">
        <f t="shared" si="35"/>
        <v>6</v>
      </c>
      <c r="G80">
        <f t="shared" si="36"/>
        <v>1</v>
      </c>
      <c r="H80">
        <f t="shared" si="37"/>
        <v>0</v>
      </c>
      <c r="I80">
        <f t="shared" si="38"/>
        <v>1</v>
      </c>
      <c r="J80">
        <f t="shared" si="39"/>
        <v>0</v>
      </c>
      <c r="K80">
        <f t="shared" si="40"/>
        <v>1</v>
      </c>
      <c r="L80">
        <f t="shared" si="41"/>
        <v>0</v>
      </c>
      <c r="M80">
        <f t="shared" si="42"/>
        <v>1</v>
      </c>
      <c r="N80">
        <f t="shared" si="43"/>
        <v>0</v>
      </c>
      <c r="O80">
        <f t="shared" si="44"/>
        <v>1</v>
      </c>
      <c r="P80">
        <f t="shared" si="45"/>
        <v>0</v>
      </c>
      <c r="Q80">
        <f t="shared" si="46"/>
        <v>1</v>
      </c>
      <c r="R80">
        <f t="shared" si="47"/>
        <v>0</v>
      </c>
    </row>
    <row r="81" spans="1:18" x14ac:dyDescent="0.25">
      <c r="A81">
        <v>70</v>
      </c>
      <c r="B81" t="str">
        <f t="shared" si="32"/>
        <v>Kyle</v>
      </c>
      <c r="C81" s="10"/>
      <c r="D81" t="str">
        <f t="shared" si="33"/>
        <v/>
      </c>
      <c r="E81" s="11" t="str">
        <f t="shared" si="34"/>
        <v>Completar trabajo anterior</v>
      </c>
      <c r="F81">
        <f t="shared" si="35"/>
        <v>6</v>
      </c>
      <c r="G81">
        <f t="shared" si="36"/>
        <v>1</v>
      </c>
      <c r="H81">
        <f t="shared" si="37"/>
        <v>0</v>
      </c>
      <c r="I81">
        <f t="shared" si="38"/>
        <v>1</v>
      </c>
      <c r="J81">
        <f t="shared" si="39"/>
        <v>0</v>
      </c>
      <c r="K81">
        <f t="shared" si="40"/>
        <v>1</v>
      </c>
      <c r="L81">
        <f t="shared" si="41"/>
        <v>0</v>
      </c>
      <c r="M81">
        <f t="shared" si="42"/>
        <v>1</v>
      </c>
      <c r="N81">
        <f t="shared" si="43"/>
        <v>0</v>
      </c>
      <c r="O81">
        <f t="shared" si="44"/>
        <v>1</v>
      </c>
      <c r="P81">
        <f t="shared" si="45"/>
        <v>0</v>
      </c>
      <c r="Q81">
        <f t="shared" si="46"/>
        <v>1</v>
      </c>
      <c r="R81">
        <f t="shared" si="47"/>
        <v>0</v>
      </c>
    </row>
    <row r="82" spans="1:18" x14ac:dyDescent="0.25">
      <c r="A82">
        <v>71</v>
      </c>
      <c r="B82" t="str">
        <f t="shared" si="32"/>
        <v>Kyle</v>
      </c>
      <c r="C82" s="10"/>
      <c r="D82" t="str">
        <f t="shared" si="33"/>
        <v/>
      </c>
      <c r="E82" s="11" t="str">
        <f t="shared" si="34"/>
        <v>Completar trabajo anterior</v>
      </c>
      <c r="F82">
        <f t="shared" si="35"/>
        <v>6</v>
      </c>
      <c r="G82">
        <f t="shared" si="36"/>
        <v>1</v>
      </c>
      <c r="H82">
        <f t="shared" si="37"/>
        <v>0</v>
      </c>
      <c r="I82">
        <f t="shared" si="38"/>
        <v>1</v>
      </c>
      <c r="J82">
        <f t="shared" si="39"/>
        <v>0</v>
      </c>
      <c r="K82">
        <f t="shared" si="40"/>
        <v>1</v>
      </c>
      <c r="L82">
        <f t="shared" si="41"/>
        <v>0</v>
      </c>
      <c r="M82">
        <f t="shared" si="42"/>
        <v>1</v>
      </c>
      <c r="N82">
        <f t="shared" si="43"/>
        <v>0</v>
      </c>
      <c r="O82">
        <f t="shared" si="44"/>
        <v>1</v>
      </c>
      <c r="P82">
        <f t="shared" si="45"/>
        <v>0</v>
      </c>
      <c r="Q82">
        <f t="shared" si="46"/>
        <v>1</v>
      </c>
      <c r="R82">
        <f t="shared" si="47"/>
        <v>0</v>
      </c>
    </row>
    <row r="83" spans="1:18" x14ac:dyDescent="0.25">
      <c r="A83">
        <v>72</v>
      </c>
      <c r="B83" t="str">
        <f t="shared" si="32"/>
        <v>Kyle</v>
      </c>
      <c r="C83" s="10"/>
      <c r="D83" t="str">
        <f t="shared" si="33"/>
        <v/>
      </c>
      <c r="E83" s="11" t="str">
        <f t="shared" si="34"/>
        <v>Completar trabajo anterior</v>
      </c>
      <c r="F83">
        <f t="shared" si="35"/>
        <v>6</v>
      </c>
      <c r="G83">
        <f t="shared" si="36"/>
        <v>1</v>
      </c>
      <c r="H83">
        <f t="shared" si="37"/>
        <v>0</v>
      </c>
      <c r="I83">
        <f t="shared" si="38"/>
        <v>1</v>
      </c>
      <c r="J83">
        <f t="shared" si="39"/>
        <v>0</v>
      </c>
      <c r="K83">
        <f t="shared" si="40"/>
        <v>1</v>
      </c>
      <c r="L83">
        <f t="shared" si="41"/>
        <v>0</v>
      </c>
      <c r="M83">
        <f t="shared" si="42"/>
        <v>1</v>
      </c>
      <c r="N83">
        <f t="shared" si="43"/>
        <v>0</v>
      </c>
      <c r="O83">
        <f t="shared" si="44"/>
        <v>1</v>
      </c>
      <c r="P83">
        <f t="shared" si="45"/>
        <v>0</v>
      </c>
      <c r="Q83">
        <f t="shared" si="46"/>
        <v>1</v>
      </c>
      <c r="R83">
        <f t="shared" si="47"/>
        <v>0</v>
      </c>
    </row>
    <row r="84" spans="1:18" x14ac:dyDescent="0.25">
      <c r="A84">
        <v>73</v>
      </c>
      <c r="B84" t="str">
        <f t="shared" si="32"/>
        <v>Kyle</v>
      </c>
      <c r="C84" s="10"/>
      <c r="D84" t="str">
        <f t="shared" si="33"/>
        <v/>
      </c>
      <c r="E84" s="11" t="str">
        <f t="shared" si="34"/>
        <v>Completar trabajo anterior</v>
      </c>
      <c r="F84">
        <f t="shared" si="35"/>
        <v>6</v>
      </c>
      <c r="G84">
        <f t="shared" si="36"/>
        <v>1</v>
      </c>
      <c r="H84">
        <f t="shared" si="37"/>
        <v>0</v>
      </c>
      <c r="I84">
        <f t="shared" si="38"/>
        <v>1</v>
      </c>
      <c r="J84">
        <f t="shared" si="39"/>
        <v>0</v>
      </c>
      <c r="K84">
        <f t="shared" si="40"/>
        <v>1</v>
      </c>
      <c r="L84">
        <f t="shared" si="41"/>
        <v>0</v>
      </c>
      <c r="M84">
        <f t="shared" si="42"/>
        <v>1</v>
      </c>
      <c r="N84">
        <f t="shared" si="43"/>
        <v>0</v>
      </c>
      <c r="O84">
        <f t="shared" si="44"/>
        <v>1</v>
      </c>
      <c r="P84">
        <f t="shared" si="45"/>
        <v>0</v>
      </c>
      <c r="Q84">
        <f t="shared" si="46"/>
        <v>1</v>
      </c>
      <c r="R84">
        <f t="shared" si="47"/>
        <v>0</v>
      </c>
    </row>
    <row r="85" spans="1:18" x14ac:dyDescent="0.25">
      <c r="A85">
        <v>74</v>
      </c>
      <c r="B85" t="str">
        <f t="shared" si="32"/>
        <v>Kyle</v>
      </c>
      <c r="C85" s="10"/>
      <c r="D85" t="str">
        <f t="shared" si="33"/>
        <v/>
      </c>
      <c r="E85" s="11" t="str">
        <f t="shared" si="34"/>
        <v>Completar trabajo anterior</v>
      </c>
      <c r="F85">
        <f t="shared" si="35"/>
        <v>6</v>
      </c>
      <c r="G85">
        <f t="shared" si="36"/>
        <v>1</v>
      </c>
      <c r="H85">
        <f t="shared" si="37"/>
        <v>0</v>
      </c>
      <c r="I85">
        <f t="shared" si="38"/>
        <v>1</v>
      </c>
      <c r="J85">
        <f t="shared" si="39"/>
        <v>0</v>
      </c>
      <c r="K85">
        <f t="shared" si="40"/>
        <v>1</v>
      </c>
      <c r="L85">
        <f t="shared" si="41"/>
        <v>0</v>
      </c>
      <c r="M85">
        <f t="shared" si="42"/>
        <v>1</v>
      </c>
      <c r="N85">
        <f t="shared" si="43"/>
        <v>0</v>
      </c>
      <c r="O85">
        <f t="shared" si="44"/>
        <v>1</v>
      </c>
      <c r="P85">
        <f t="shared" si="45"/>
        <v>0</v>
      </c>
      <c r="Q85">
        <f t="shared" si="46"/>
        <v>1</v>
      </c>
      <c r="R85">
        <f t="shared" si="47"/>
        <v>0</v>
      </c>
    </row>
    <row r="86" spans="1:18" x14ac:dyDescent="0.25">
      <c r="A86">
        <v>75</v>
      </c>
      <c r="B86" t="str">
        <f t="shared" si="32"/>
        <v>Kyle</v>
      </c>
      <c r="C86" s="10"/>
      <c r="D86" t="str">
        <f t="shared" si="33"/>
        <v/>
      </c>
      <c r="E86" s="11" t="str">
        <f t="shared" si="34"/>
        <v>Completar trabajo anterior</v>
      </c>
      <c r="F86">
        <f t="shared" si="35"/>
        <v>6</v>
      </c>
      <c r="G86">
        <f t="shared" si="36"/>
        <v>1</v>
      </c>
      <c r="H86">
        <f t="shared" si="37"/>
        <v>0</v>
      </c>
      <c r="I86">
        <f t="shared" si="38"/>
        <v>1</v>
      </c>
      <c r="J86">
        <f t="shared" si="39"/>
        <v>0</v>
      </c>
      <c r="K86">
        <f t="shared" si="40"/>
        <v>1</v>
      </c>
      <c r="L86">
        <f t="shared" si="41"/>
        <v>0</v>
      </c>
      <c r="M86">
        <f t="shared" si="42"/>
        <v>1</v>
      </c>
      <c r="N86">
        <f t="shared" si="43"/>
        <v>0</v>
      </c>
      <c r="O86">
        <f t="shared" si="44"/>
        <v>1</v>
      </c>
      <c r="P86">
        <f t="shared" si="45"/>
        <v>0</v>
      </c>
      <c r="Q86">
        <f t="shared" si="46"/>
        <v>1</v>
      </c>
      <c r="R86">
        <f t="shared" si="47"/>
        <v>0</v>
      </c>
    </row>
    <row r="87" spans="1:18" x14ac:dyDescent="0.25">
      <c r="A87">
        <v>76</v>
      </c>
      <c r="B87" t="str">
        <f t="shared" si="32"/>
        <v>Kyle</v>
      </c>
      <c r="C87" s="10"/>
      <c r="D87" t="str">
        <f t="shared" si="33"/>
        <v/>
      </c>
      <c r="E87" s="11" t="str">
        <f t="shared" si="34"/>
        <v>Completar trabajo anterior</v>
      </c>
      <c r="F87">
        <f t="shared" si="35"/>
        <v>6</v>
      </c>
      <c r="G87">
        <f t="shared" si="36"/>
        <v>1</v>
      </c>
      <c r="H87">
        <f t="shared" si="37"/>
        <v>0</v>
      </c>
      <c r="I87">
        <f t="shared" si="38"/>
        <v>1</v>
      </c>
      <c r="J87">
        <f t="shared" si="39"/>
        <v>0</v>
      </c>
      <c r="K87">
        <f t="shared" si="40"/>
        <v>1</v>
      </c>
      <c r="L87">
        <f t="shared" si="41"/>
        <v>0</v>
      </c>
      <c r="M87">
        <f t="shared" si="42"/>
        <v>1</v>
      </c>
      <c r="N87">
        <f t="shared" si="43"/>
        <v>0</v>
      </c>
      <c r="O87">
        <f t="shared" si="44"/>
        <v>1</v>
      </c>
      <c r="P87">
        <f t="shared" si="45"/>
        <v>0</v>
      </c>
      <c r="Q87">
        <f t="shared" si="46"/>
        <v>1</v>
      </c>
      <c r="R87">
        <f t="shared" si="47"/>
        <v>0</v>
      </c>
    </row>
    <row r="88" spans="1:18" x14ac:dyDescent="0.25">
      <c r="A88">
        <v>77</v>
      </c>
      <c r="B88" t="str">
        <f t="shared" si="32"/>
        <v>Kyle</v>
      </c>
      <c r="C88" s="10"/>
      <c r="D88" t="str">
        <f t="shared" si="33"/>
        <v/>
      </c>
      <c r="E88" s="11" t="str">
        <f t="shared" si="34"/>
        <v>Completar trabajo anterior</v>
      </c>
      <c r="F88">
        <f t="shared" si="35"/>
        <v>6</v>
      </c>
      <c r="G88">
        <f t="shared" si="36"/>
        <v>1</v>
      </c>
      <c r="H88">
        <f t="shared" si="37"/>
        <v>0</v>
      </c>
      <c r="I88">
        <f t="shared" si="38"/>
        <v>1</v>
      </c>
      <c r="J88">
        <f t="shared" si="39"/>
        <v>0</v>
      </c>
      <c r="K88">
        <f t="shared" si="40"/>
        <v>1</v>
      </c>
      <c r="L88">
        <f t="shared" si="41"/>
        <v>0</v>
      </c>
      <c r="M88">
        <f t="shared" si="42"/>
        <v>1</v>
      </c>
      <c r="N88">
        <f t="shared" si="43"/>
        <v>0</v>
      </c>
      <c r="O88">
        <f t="shared" si="44"/>
        <v>1</v>
      </c>
      <c r="P88">
        <f t="shared" si="45"/>
        <v>0</v>
      </c>
      <c r="Q88">
        <f t="shared" si="46"/>
        <v>1</v>
      </c>
      <c r="R88">
        <f t="shared" si="47"/>
        <v>0</v>
      </c>
    </row>
    <row r="89" spans="1:18" x14ac:dyDescent="0.25">
      <c r="A89">
        <v>78</v>
      </c>
      <c r="B89" t="str">
        <f t="shared" si="32"/>
        <v>Kyle</v>
      </c>
      <c r="C89" s="10"/>
      <c r="D89" t="str">
        <f t="shared" si="33"/>
        <v/>
      </c>
      <c r="E89" s="11" t="str">
        <f t="shared" si="34"/>
        <v>Completar trabajo anterior</v>
      </c>
      <c r="F89">
        <f t="shared" si="35"/>
        <v>6</v>
      </c>
      <c r="G89">
        <f t="shared" si="36"/>
        <v>1</v>
      </c>
      <c r="H89">
        <f t="shared" si="37"/>
        <v>0</v>
      </c>
      <c r="I89">
        <f t="shared" si="38"/>
        <v>1</v>
      </c>
      <c r="J89">
        <f t="shared" si="39"/>
        <v>0</v>
      </c>
      <c r="K89">
        <f t="shared" si="40"/>
        <v>1</v>
      </c>
      <c r="L89">
        <f t="shared" si="41"/>
        <v>0</v>
      </c>
      <c r="M89">
        <f t="shared" si="42"/>
        <v>1</v>
      </c>
      <c r="N89">
        <f t="shared" si="43"/>
        <v>0</v>
      </c>
      <c r="O89">
        <f t="shared" si="44"/>
        <v>1</v>
      </c>
      <c r="P89">
        <f t="shared" si="45"/>
        <v>0</v>
      </c>
      <c r="Q89">
        <f t="shared" si="46"/>
        <v>1</v>
      </c>
      <c r="R89">
        <f t="shared" si="47"/>
        <v>0</v>
      </c>
    </row>
    <row r="90" spans="1:18" x14ac:dyDescent="0.25">
      <c r="A90">
        <v>79</v>
      </c>
      <c r="B90" t="str">
        <f t="shared" si="32"/>
        <v>Kyle</v>
      </c>
      <c r="C90" s="10"/>
      <c r="D90" t="str">
        <f t="shared" si="33"/>
        <v/>
      </c>
      <c r="E90" s="11" t="str">
        <f t="shared" si="34"/>
        <v>Completar trabajo anterior</v>
      </c>
      <c r="F90">
        <f t="shared" si="35"/>
        <v>6</v>
      </c>
      <c r="G90">
        <f t="shared" si="36"/>
        <v>1</v>
      </c>
      <c r="H90">
        <f t="shared" si="37"/>
        <v>0</v>
      </c>
      <c r="I90">
        <f t="shared" si="38"/>
        <v>1</v>
      </c>
      <c r="J90">
        <f t="shared" si="39"/>
        <v>0</v>
      </c>
      <c r="K90">
        <f t="shared" si="40"/>
        <v>1</v>
      </c>
      <c r="L90">
        <f t="shared" si="41"/>
        <v>0</v>
      </c>
      <c r="M90">
        <f t="shared" si="42"/>
        <v>1</v>
      </c>
      <c r="N90">
        <f t="shared" si="43"/>
        <v>0</v>
      </c>
      <c r="O90">
        <f t="shared" si="44"/>
        <v>1</v>
      </c>
      <c r="P90">
        <f t="shared" si="45"/>
        <v>0</v>
      </c>
      <c r="Q90">
        <f t="shared" si="46"/>
        <v>1</v>
      </c>
      <c r="R90">
        <f t="shared" si="47"/>
        <v>0</v>
      </c>
    </row>
    <row r="91" spans="1:18" x14ac:dyDescent="0.25">
      <c r="A91">
        <v>80</v>
      </c>
      <c r="B91" t="str">
        <f t="shared" si="32"/>
        <v>Kyle</v>
      </c>
      <c r="C91" s="10"/>
      <c r="D91" t="str">
        <f t="shared" si="33"/>
        <v/>
      </c>
      <c r="E91" s="11" t="str">
        <f t="shared" si="34"/>
        <v>Completar trabajo anterior</v>
      </c>
      <c r="F91">
        <f t="shared" si="35"/>
        <v>6</v>
      </c>
      <c r="G91">
        <f t="shared" si="36"/>
        <v>1</v>
      </c>
      <c r="H91">
        <f t="shared" si="37"/>
        <v>0</v>
      </c>
      <c r="I91">
        <f t="shared" si="38"/>
        <v>1</v>
      </c>
      <c r="J91">
        <f t="shared" si="39"/>
        <v>0</v>
      </c>
      <c r="K91">
        <f t="shared" si="40"/>
        <v>1</v>
      </c>
      <c r="L91">
        <f t="shared" si="41"/>
        <v>0</v>
      </c>
      <c r="M91">
        <f t="shared" si="42"/>
        <v>1</v>
      </c>
      <c r="N91">
        <f t="shared" si="43"/>
        <v>0</v>
      </c>
      <c r="O91">
        <f t="shared" si="44"/>
        <v>1</v>
      </c>
      <c r="P91">
        <f t="shared" si="45"/>
        <v>0</v>
      </c>
      <c r="Q91">
        <f t="shared" si="46"/>
        <v>1</v>
      </c>
      <c r="R91">
        <f t="shared" si="47"/>
        <v>0</v>
      </c>
    </row>
    <row r="92" spans="1:18" x14ac:dyDescent="0.25">
      <c r="A92">
        <v>81</v>
      </c>
      <c r="B92" t="str">
        <f t="shared" si="32"/>
        <v>Kyle</v>
      </c>
      <c r="C92" s="10"/>
      <c r="D92" t="str">
        <f t="shared" si="33"/>
        <v/>
      </c>
      <c r="E92" s="11" t="str">
        <f t="shared" si="34"/>
        <v>Completar trabajo anterior</v>
      </c>
      <c r="F92">
        <f t="shared" si="35"/>
        <v>6</v>
      </c>
      <c r="G92">
        <f t="shared" si="36"/>
        <v>1</v>
      </c>
      <c r="H92">
        <f t="shared" si="37"/>
        <v>0</v>
      </c>
      <c r="I92">
        <f t="shared" si="38"/>
        <v>1</v>
      </c>
      <c r="J92">
        <f t="shared" si="39"/>
        <v>0</v>
      </c>
      <c r="K92">
        <f t="shared" si="40"/>
        <v>1</v>
      </c>
      <c r="L92">
        <f t="shared" si="41"/>
        <v>0</v>
      </c>
      <c r="M92">
        <f t="shared" si="42"/>
        <v>1</v>
      </c>
      <c r="N92">
        <f t="shared" si="43"/>
        <v>0</v>
      </c>
      <c r="O92">
        <f t="shared" si="44"/>
        <v>1</v>
      </c>
      <c r="P92">
        <f t="shared" si="45"/>
        <v>0</v>
      </c>
      <c r="Q92">
        <f t="shared" si="46"/>
        <v>1</v>
      </c>
      <c r="R92">
        <f t="shared" si="47"/>
        <v>0</v>
      </c>
    </row>
    <row r="93" spans="1:18" x14ac:dyDescent="0.25">
      <c r="A93">
        <v>82</v>
      </c>
      <c r="B93" t="str">
        <f t="shared" si="32"/>
        <v>Kyle</v>
      </c>
      <c r="C93" s="10"/>
      <c r="D93" t="str">
        <f t="shared" si="33"/>
        <v/>
      </c>
      <c r="E93" s="11" t="str">
        <f t="shared" si="34"/>
        <v>Completar trabajo anterior</v>
      </c>
      <c r="F93">
        <f t="shared" si="35"/>
        <v>6</v>
      </c>
      <c r="G93">
        <f t="shared" si="36"/>
        <v>1</v>
      </c>
      <c r="H93">
        <f t="shared" si="37"/>
        <v>0</v>
      </c>
      <c r="I93">
        <f t="shared" si="38"/>
        <v>1</v>
      </c>
      <c r="J93">
        <f t="shared" si="39"/>
        <v>0</v>
      </c>
      <c r="K93">
        <f t="shared" si="40"/>
        <v>1</v>
      </c>
      <c r="L93">
        <f t="shared" si="41"/>
        <v>0</v>
      </c>
      <c r="M93">
        <f t="shared" si="42"/>
        <v>1</v>
      </c>
      <c r="N93">
        <f t="shared" si="43"/>
        <v>0</v>
      </c>
      <c r="O93">
        <f t="shared" si="44"/>
        <v>1</v>
      </c>
      <c r="P93">
        <f t="shared" si="45"/>
        <v>0</v>
      </c>
      <c r="Q93">
        <f t="shared" si="46"/>
        <v>1</v>
      </c>
      <c r="R93">
        <f t="shared" si="47"/>
        <v>0</v>
      </c>
    </row>
    <row r="94" spans="1:18" x14ac:dyDescent="0.25">
      <c r="A94">
        <v>83</v>
      </c>
      <c r="B94" t="str">
        <f t="shared" si="32"/>
        <v>Kyle</v>
      </c>
      <c r="C94" s="10"/>
      <c r="D94" t="str">
        <f t="shared" si="33"/>
        <v/>
      </c>
      <c r="E94" s="11" t="str">
        <f t="shared" si="34"/>
        <v>Completar trabajo anterior</v>
      </c>
      <c r="F94">
        <f t="shared" si="35"/>
        <v>6</v>
      </c>
      <c r="G94">
        <f t="shared" si="36"/>
        <v>1</v>
      </c>
      <c r="H94">
        <f t="shared" si="37"/>
        <v>0</v>
      </c>
      <c r="I94">
        <f t="shared" si="38"/>
        <v>1</v>
      </c>
      <c r="J94">
        <f t="shared" si="39"/>
        <v>0</v>
      </c>
      <c r="K94">
        <f t="shared" si="40"/>
        <v>1</v>
      </c>
      <c r="L94">
        <f t="shared" si="41"/>
        <v>0</v>
      </c>
      <c r="M94">
        <f t="shared" si="42"/>
        <v>1</v>
      </c>
      <c r="N94">
        <f t="shared" si="43"/>
        <v>0</v>
      </c>
      <c r="O94">
        <f t="shared" si="44"/>
        <v>1</v>
      </c>
      <c r="P94">
        <f t="shared" si="45"/>
        <v>0</v>
      </c>
      <c r="Q94">
        <f t="shared" si="46"/>
        <v>1</v>
      </c>
      <c r="R94">
        <f t="shared" si="47"/>
        <v>0</v>
      </c>
    </row>
    <row r="95" spans="1:18" x14ac:dyDescent="0.25">
      <c r="A95">
        <v>84</v>
      </c>
      <c r="B95" t="str">
        <f t="shared" si="32"/>
        <v>Kyle</v>
      </c>
      <c r="C95" s="10"/>
      <c r="D95" t="str">
        <f t="shared" si="33"/>
        <v/>
      </c>
      <c r="E95" s="11" t="str">
        <f t="shared" si="34"/>
        <v>Completar trabajo anterior</v>
      </c>
      <c r="F95">
        <f t="shared" si="35"/>
        <v>6</v>
      </c>
      <c r="G95">
        <f t="shared" si="36"/>
        <v>1</v>
      </c>
      <c r="H95">
        <f t="shared" si="37"/>
        <v>0</v>
      </c>
      <c r="I95">
        <f t="shared" si="38"/>
        <v>1</v>
      </c>
      <c r="J95">
        <f t="shared" si="39"/>
        <v>0</v>
      </c>
      <c r="K95">
        <f t="shared" si="40"/>
        <v>1</v>
      </c>
      <c r="L95">
        <f t="shared" si="41"/>
        <v>0</v>
      </c>
      <c r="M95">
        <f t="shared" si="42"/>
        <v>1</v>
      </c>
      <c r="N95">
        <f t="shared" si="43"/>
        <v>0</v>
      </c>
      <c r="O95">
        <f t="shared" si="44"/>
        <v>1</v>
      </c>
      <c r="P95">
        <f t="shared" si="45"/>
        <v>0</v>
      </c>
      <c r="Q95">
        <f t="shared" si="46"/>
        <v>1</v>
      </c>
      <c r="R95">
        <f t="shared" si="47"/>
        <v>0</v>
      </c>
    </row>
    <row r="96" spans="1:18" x14ac:dyDescent="0.25">
      <c r="A96">
        <v>85</v>
      </c>
      <c r="B96" t="str">
        <f t="shared" si="32"/>
        <v>Kyle</v>
      </c>
      <c r="C96" s="10"/>
      <c r="D96" t="str">
        <f t="shared" si="33"/>
        <v/>
      </c>
      <c r="E96" s="11" t="str">
        <f t="shared" si="34"/>
        <v>Completar trabajo anterior</v>
      </c>
      <c r="F96">
        <f t="shared" si="35"/>
        <v>6</v>
      </c>
      <c r="G96">
        <f t="shared" si="36"/>
        <v>1</v>
      </c>
      <c r="H96">
        <f t="shared" si="37"/>
        <v>0</v>
      </c>
      <c r="I96">
        <f t="shared" si="38"/>
        <v>1</v>
      </c>
      <c r="J96">
        <f t="shared" si="39"/>
        <v>0</v>
      </c>
      <c r="K96">
        <f t="shared" si="40"/>
        <v>1</v>
      </c>
      <c r="L96">
        <f t="shared" si="41"/>
        <v>0</v>
      </c>
      <c r="M96">
        <f t="shared" si="42"/>
        <v>1</v>
      </c>
      <c r="N96">
        <f t="shared" si="43"/>
        <v>0</v>
      </c>
      <c r="O96">
        <f t="shared" si="44"/>
        <v>1</v>
      </c>
      <c r="P96">
        <f t="shared" si="45"/>
        <v>0</v>
      </c>
      <c r="Q96">
        <f t="shared" si="46"/>
        <v>1</v>
      </c>
      <c r="R96">
        <f t="shared" si="47"/>
        <v>0</v>
      </c>
    </row>
    <row r="97" spans="1:18" x14ac:dyDescent="0.25">
      <c r="A97">
        <v>86</v>
      </c>
      <c r="B97" t="str">
        <f t="shared" si="32"/>
        <v>Kyle</v>
      </c>
      <c r="C97" s="10"/>
      <c r="D97" t="str">
        <f t="shared" si="33"/>
        <v/>
      </c>
      <c r="E97" s="11" t="str">
        <f t="shared" si="34"/>
        <v>Completar trabajo anterior</v>
      </c>
      <c r="F97">
        <f t="shared" si="35"/>
        <v>6</v>
      </c>
      <c r="G97">
        <f t="shared" si="36"/>
        <v>1</v>
      </c>
      <c r="H97">
        <f t="shared" si="37"/>
        <v>0</v>
      </c>
      <c r="I97">
        <f t="shared" si="38"/>
        <v>1</v>
      </c>
      <c r="J97">
        <f t="shared" si="39"/>
        <v>0</v>
      </c>
      <c r="K97">
        <f t="shared" si="40"/>
        <v>1</v>
      </c>
      <c r="L97">
        <f t="shared" si="41"/>
        <v>0</v>
      </c>
      <c r="M97">
        <f t="shared" si="42"/>
        <v>1</v>
      </c>
      <c r="N97">
        <f t="shared" si="43"/>
        <v>0</v>
      </c>
      <c r="O97">
        <f t="shared" si="44"/>
        <v>1</v>
      </c>
      <c r="P97">
        <f t="shared" si="45"/>
        <v>0</v>
      </c>
      <c r="Q97">
        <f t="shared" si="46"/>
        <v>1</v>
      </c>
      <c r="R97">
        <f t="shared" si="47"/>
        <v>0</v>
      </c>
    </row>
    <row r="98" spans="1:18" x14ac:dyDescent="0.25">
      <c r="A98">
        <v>87</v>
      </c>
      <c r="B98" t="str">
        <f t="shared" si="32"/>
        <v>Kyle</v>
      </c>
      <c r="C98" s="10"/>
      <c r="D98" t="str">
        <f t="shared" si="33"/>
        <v/>
      </c>
      <c r="E98" s="11" t="str">
        <f t="shared" si="34"/>
        <v>Completar trabajo anterior</v>
      </c>
      <c r="F98">
        <f t="shared" si="35"/>
        <v>6</v>
      </c>
      <c r="G98">
        <f t="shared" si="36"/>
        <v>1</v>
      </c>
      <c r="H98">
        <f t="shared" si="37"/>
        <v>0</v>
      </c>
      <c r="I98">
        <f t="shared" si="38"/>
        <v>1</v>
      </c>
      <c r="J98">
        <f t="shared" si="39"/>
        <v>0</v>
      </c>
      <c r="K98">
        <f t="shared" si="40"/>
        <v>1</v>
      </c>
      <c r="L98">
        <f t="shared" si="41"/>
        <v>0</v>
      </c>
      <c r="M98">
        <f t="shared" si="42"/>
        <v>1</v>
      </c>
      <c r="N98">
        <f t="shared" si="43"/>
        <v>0</v>
      </c>
      <c r="O98">
        <f t="shared" si="44"/>
        <v>1</v>
      </c>
      <c r="P98">
        <f t="shared" si="45"/>
        <v>0</v>
      </c>
      <c r="Q98">
        <f t="shared" si="46"/>
        <v>1</v>
      </c>
      <c r="R98">
        <f t="shared" si="47"/>
        <v>0</v>
      </c>
    </row>
    <row r="99" spans="1:18" x14ac:dyDescent="0.25">
      <c r="A99">
        <v>88</v>
      </c>
      <c r="B99" t="str">
        <f t="shared" si="32"/>
        <v>Kyle</v>
      </c>
      <c r="C99" s="10"/>
      <c r="D99" t="str">
        <f t="shared" si="33"/>
        <v/>
      </c>
      <c r="E99" s="11" t="str">
        <f t="shared" si="34"/>
        <v>Completar trabajo anterior</v>
      </c>
      <c r="F99">
        <f t="shared" si="35"/>
        <v>6</v>
      </c>
      <c r="G99">
        <f t="shared" si="36"/>
        <v>1</v>
      </c>
      <c r="H99">
        <f t="shared" si="37"/>
        <v>0</v>
      </c>
      <c r="I99">
        <f t="shared" si="38"/>
        <v>1</v>
      </c>
      <c r="J99">
        <f t="shared" si="39"/>
        <v>0</v>
      </c>
      <c r="K99">
        <f t="shared" si="40"/>
        <v>1</v>
      </c>
      <c r="L99">
        <f t="shared" si="41"/>
        <v>0</v>
      </c>
      <c r="M99">
        <f t="shared" si="42"/>
        <v>1</v>
      </c>
      <c r="N99">
        <f t="shared" si="43"/>
        <v>0</v>
      </c>
      <c r="O99">
        <f t="shared" si="44"/>
        <v>1</v>
      </c>
      <c r="P99">
        <f t="shared" si="45"/>
        <v>0</v>
      </c>
      <c r="Q99">
        <f t="shared" si="46"/>
        <v>1</v>
      </c>
      <c r="R99">
        <f t="shared" si="47"/>
        <v>0</v>
      </c>
    </row>
    <row r="100" spans="1:18" x14ac:dyDescent="0.25">
      <c r="A100">
        <v>89</v>
      </c>
      <c r="B100" t="str">
        <f t="shared" si="32"/>
        <v>Kyle</v>
      </c>
      <c r="C100" s="10"/>
      <c r="D100" t="str">
        <f t="shared" si="33"/>
        <v/>
      </c>
      <c r="E100" s="11" t="str">
        <f t="shared" si="34"/>
        <v>Completar trabajo anterior</v>
      </c>
      <c r="F100">
        <f t="shared" si="35"/>
        <v>6</v>
      </c>
      <c r="G100">
        <f t="shared" si="36"/>
        <v>1</v>
      </c>
      <c r="H100">
        <f t="shared" si="37"/>
        <v>0</v>
      </c>
      <c r="I100">
        <f t="shared" si="38"/>
        <v>1</v>
      </c>
      <c r="J100">
        <f t="shared" si="39"/>
        <v>0</v>
      </c>
      <c r="K100">
        <f t="shared" si="40"/>
        <v>1</v>
      </c>
      <c r="L100">
        <f t="shared" si="41"/>
        <v>0</v>
      </c>
      <c r="M100">
        <f t="shared" si="42"/>
        <v>1</v>
      </c>
      <c r="N100">
        <f t="shared" si="43"/>
        <v>0</v>
      </c>
      <c r="O100">
        <f t="shared" si="44"/>
        <v>1</v>
      </c>
      <c r="P100">
        <f t="shared" si="45"/>
        <v>0</v>
      </c>
      <c r="Q100">
        <f t="shared" si="46"/>
        <v>1</v>
      </c>
      <c r="R100">
        <f t="shared" si="47"/>
        <v>0</v>
      </c>
    </row>
    <row r="101" spans="1:18" x14ac:dyDescent="0.25">
      <c r="A101">
        <v>90</v>
      </c>
      <c r="B101" t="str">
        <f t="shared" si="32"/>
        <v>Kyle</v>
      </c>
      <c r="C101" s="10"/>
      <c r="D101" t="str">
        <f t="shared" si="33"/>
        <v/>
      </c>
      <c r="E101" s="11" t="str">
        <f t="shared" si="34"/>
        <v>Completar trabajo anterior</v>
      </c>
      <c r="F101">
        <f t="shared" si="35"/>
        <v>6</v>
      </c>
      <c r="G101">
        <f t="shared" si="36"/>
        <v>1</v>
      </c>
      <c r="H101">
        <f t="shared" si="37"/>
        <v>0</v>
      </c>
      <c r="I101">
        <f t="shared" si="38"/>
        <v>1</v>
      </c>
      <c r="J101">
        <f t="shared" si="39"/>
        <v>0</v>
      </c>
      <c r="K101">
        <f t="shared" si="40"/>
        <v>1</v>
      </c>
      <c r="L101">
        <f t="shared" si="41"/>
        <v>0</v>
      </c>
      <c r="M101">
        <f t="shared" si="42"/>
        <v>1</v>
      </c>
      <c r="N101">
        <f t="shared" si="43"/>
        <v>0</v>
      </c>
      <c r="O101">
        <f t="shared" si="44"/>
        <v>1</v>
      </c>
      <c r="P101">
        <f t="shared" si="45"/>
        <v>0</v>
      </c>
      <c r="Q101">
        <f t="shared" si="46"/>
        <v>1</v>
      </c>
      <c r="R101">
        <f t="shared" si="47"/>
        <v>0</v>
      </c>
    </row>
    <row r="102" spans="1:18" x14ac:dyDescent="0.25">
      <c r="A102">
        <v>91</v>
      </c>
      <c r="B102" t="str">
        <f t="shared" si="32"/>
        <v>Kyle</v>
      </c>
      <c r="C102" s="10"/>
      <c r="D102" t="str">
        <f t="shared" si="33"/>
        <v/>
      </c>
      <c r="E102" s="11" t="str">
        <f t="shared" si="34"/>
        <v>Completar trabajo anterior</v>
      </c>
      <c r="F102">
        <f t="shared" si="35"/>
        <v>6</v>
      </c>
      <c r="G102">
        <f t="shared" si="36"/>
        <v>1</v>
      </c>
      <c r="H102">
        <f t="shared" si="37"/>
        <v>0</v>
      </c>
      <c r="I102">
        <f t="shared" si="38"/>
        <v>1</v>
      </c>
      <c r="J102">
        <f t="shared" si="39"/>
        <v>0</v>
      </c>
      <c r="K102">
        <f t="shared" si="40"/>
        <v>1</v>
      </c>
      <c r="L102">
        <f t="shared" si="41"/>
        <v>0</v>
      </c>
      <c r="M102">
        <f t="shared" si="42"/>
        <v>1</v>
      </c>
      <c r="N102">
        <f t="shared" si="43"/>
        <v>0</v>
      </c>
      <c r="O102">
        <f t="shared" si="44"/>
        <v>1</v>
      </c>
      <c r="P102">
        <f t="shared" si="45"/>
        <v>0</v>
      </c>
      <c r="Q102">
        <f t="shared" si="46"/>
        <v>1</v>
      </c>
      <c r="R102">
        <f t="shared" si="47"/>
        <v>0</v>
      </c>
    </row>
    <row r="103" spans="1:18" x14ac:dyDescent="0.25">
      <c r="A103">
        <v>92</v>
      </c>
      <c r="B103" t="str">
        <f t="shared" si="32"/>
        <v>Kyle</v>
      </c>
      <c r="C103" s="10"/>
      <c r="D103" t="str">
        <f t="shared" si="33"/>
        <v/>
      </c>
      <c r="E103" s="11" t="str">
        <f t="shared" si="34"/>
        <v>Completar trabajo anterior</v>
      </c>
      <c r="F103">
        <f t="shared" si="35"/>
        <v>6</v>
      </c>
      <c r="G103">
        <f t="shared" si="36"/>
        <v>1</v>
      </c>
      <c r="H103">
        <f t="shared" si="37"/>
        <v>0</v>
      </c>
      <c r="I103">
        <f t="shared" si="38"/>
        <v>1</v>
      </c>
      <c r="J103">
        <f t="shared" si="39"/>
        <v>0</v>
      </c>
      <c r="K103">
        <f t="shared" si="40"/>
        <v>1</v>
      </c>
      <c r="L103">
        <f t="shared" si="41"/>
        <v>0</v>
      </c>
      <c r="M103">
        <f t="shared" si="42"/>
        <v>1</v>
      </c>
      <c r="N103">
        <f t="shared" si="43"/>
        <v>0</v>
      </c>
      <c r="O103">
        <f t="shared" si="44"/>
        <v>1</v>
      </c>
      <c r="P103">
        <f t="shared" si="45"/>
        <v>0</v>
      </c>
      <c r="Q103">
        <f t="shared" si="46"/>
        <v>1</v>
      </c>
      <c r="R103">
        <f t="shared" si="47"/>
        <v>0</v>
      </c>
    </row>
    <row r="104" spans="1:18" x14ac:dyDescent="0.25">
      <c r="A104">
        <v>93</v>
      </c>
      <c r="B104" t="str">
        <f t="shared" si="32"/>
        <v>Kyle</v>
      </c>
      <c r="C104" s="10"/>
      <c r="D104" t="str">
        <f t="shared" si="33"/>
        <v/>
      </c>
      <c r="E104" s="11" t="str">
        <f t="shared" si="34"/>
        <v>Completar trabajo anterior</v>
      </c>
      <c r="F104">
        <f t="shared" si="35"/>
        <v>6</v>
      </c>
      <c r="G104">
        <f t="shared" si="36"/>
        <v>1</v>
      </c>
      <c r="H104">
        <f t="shared" si="37"/>
        <v>0</v>
      </c>
      <c r="I104">
        <f t="shared" si="38"/>
        <v>1</v>
      </c>
      <c r="J104">
        <f t="shared" si="39"/>
        <v>0</v>
      </c>
      <c r="K104">
        <f t="shared" si="40"/>
        <v>1</v>
      </c>
      <c r="L104">
        <f t="shared" si="41"/>
        <v>0</v>
      </c>
      <c r="M104">
        <f t="shared" si="42"/>
        <v>1</v>
      </c>
      <c r="N104">
        <f t="shared" si="43"/>
        <v>0</v>
      </c>
      <c r="O104">
        <f t="shared" si="44"/>
        <v>1</v>
      </c>
      <c r="P104">
        <f t="shared" si="45"/>
        <v>0</v>
      </c>
      <c r="Q104">
        <f t="shared" si="46"/>
        <v>1</v>
      </c>
      <c r="R104">
        <f t="shared" si="47"/>
        <v>0</v>
      </c>
    </row>
    <row r="105" spans="1:18" x14ac:dyDescent="0.25">
      <c r="A105">
        <v>94</v>
      </c>
      <c r="B105" t="str">
        <f t="shared" si="32"/>
        <v>Kyle</v>
      </c>
      <c r="C105" s="10"/>
      <c r="D105" t="str">
        <f t="shared" si="33"/>
        <v/>
      </c>
      <c r="E105" s="11" t="str">
        <f t="shared" si="34"/>
        <v>Completar trabajo anterior</v>
      </c>
      <c r="F105">
        <f t="shared" si="35"/>
        <v>6</v>
      </c>
      <c r="G105">
        <f t="shared" si="36"/>
        <v>1</v>
      </c>
      <c r="H105">
        <f t="shared" si="37"/>
        <v>0</v>
      </c>
      <c r="I105">
        <f t="shared" si="38"/>
        <v>1</v>
      </c>
      <c r="J105">
        <f t="shared" si="39"/>
        <v>0</v>
      </c>
      <c r="K105">
        <f t="shared" si="40"/>
        <v>1</v>
      </c>
      <c r="L105">
        <f t="shared" si="41"/>
        <v>0</v>
      </c>
      <c r="M105">
        <f t="shared" si="42"/>
        <v>1</v>
      </c>
      <c r="N105">
        <f t="shared" si="43"/>
        <v>0</v>
      </c>
      <c r="O105">
        <f t="shared" si="44"/>
        <v>1</v>
      </c>
      <c r="P105">
        <f t="shared" si="45"/>
        <v>0</v>
      </c>
      <c r="Q105">
        <f t="shared" si="46"/>
        <v>1</v>
      </c>
      <c r="R105">
        <f t="shared" si="47"/>
        <v>0</v>
      </c>
    </row>
    <row r="106" spans="1:18" x14ac:dyDescent="0.25">
      <c r="A106">
        <v>95</v>
      </c>
      <c r="B106" t="str">
        <f t="shared" si="32"/>
        <v>Kyle</v>
      </c>
      <c r="C106" s="10"/>
      <c r="D106" t="str">
        <f t="shared" si="33"/>
        <v/>
      </c>
      <c r="E106" s="11" t="str">
        <f t="shared" si="34"/>
        <v>Completar trabajo anterior</v>
      </c>
      <c r="F106">
        <f t="shared" si="35"/>
        <v>6</v>
      </c>
      <c r="G106">
        <f t="shared" si="36"/>
        <v>1</v>
      </c>
      <c r="H106">
        <f t="shared" si="37"/>
        <v>0</v>
      </c>
      <c r="I106">
        <f t="shared" si="38"/>
        <v>1</v>
      </c>
      <c r="J106">
        <f t="shared" si="39"/>
        <v>0</v>
      </c>
      <c r="K106">
        <f t="shared" si="40"/>
        <v>1</v>
      </c>
      <c r="L106">
        <f t="shared" si="41"/>
        <v>0</v>
      </c>
      <c r="M106">
        <f t="shared" si="42"/>
        <v>1</v>
      </c>
      <c r="N106">
        <f t="shared" si="43"/>
        <v>0</v>
      </c>
      <c r="O106">
        <f t="shared" si="44"/>
        <v>1</v>
      </c>
      <c r="P106">
        <f t="shared" si="45"/>
        <v>0</v>
      </c>
      <c r="Q106">
        <f t="shared" si="46"/>
        <v>1</v>
      </c>
      <c r="R106">
        <f t="shared" si="47"/>
        <v>0</v>
      </c>
    </row>
    <row r="107" spans="1:18" x14ac:dyDescent="0.25">
      <c r="A107">
        <v>96</v>
      </c>
      <c r="B107" t="str">
        <f t="shared" si="32"/>
        <v>Kyle</v>
      </c>
      <c r="C107" s="10"/>
      <c r="D107" t="str">
        <f t="shared" si="33"/>
        <v/>
      </c>
      <c r="E107" s="11" t="str">
        <f t="shared" si="34"/>
        <v>Completar trabajo anterior</v>
      </c>
      <c r="F107">
        <f t="shared" si="35"/>
        <v>6</v>
      </c>
      <c r="G107">
        <f t="shared" si="36"/>
        <v>1</v>
      </c>
      <c r="H107">
        <f t="shared" si="37"/>
        <v>0</v>
      </c>
      <c r="I107">
        <f t="shared" si="38"/>
        <v>1</v>
      </c>
      <c r="J107">
        <f t="shared" si="39"/>
        <v>0</v>
      </c>
      <c r="K107">
        <f t="shared" si="40"/>
        <v>1</v>
      </c>
      <c r="L107">
        <f t="shared" si="41"/>
        <v>0</v>
      </c>
      <c r="M107">
        <f t="shared" si="42"/>
        <v>1</v>
      </c>
      <c r="N107">
        <f t="shared" si="43"/>
        <v>0</v>
      </c>
      <c r="O107">
        <f t="shared" si="44"/>
        <v>1</v>
      </c>
      <c r="P107">
        <f t="shared" si="45"/>
        <v>0</v>
      </c>
      <c r="Q107">
        <f t="shared" si="46"/>
        <v>1</v>
      </c>
      <c r="R107">
        <f t="shared" si="47"/>
        <v>0</v>
      </c>
    </row>
    <row r="108" spans="1:18" x14ac:dyDescent="0.25">
      <c r="A108">
        <v>97</v>
      </c>
      <c r="B108" t="str">
        <f t="shared" si="32"/>
        <v>Kyle</v>
      </c>
      <c r="C108" s="10"/>
      <c r="D108" t="str">
        <f t="shared" si="33"/>
        <v/>
      </c>
      <c r="E108" s="11" t="str">
        <f t="shared" si="34"/>
        <v>Completar trabajo anterior</v>
      </c>
      <c r="F108">
        <f t="shared" si="35"/>
        <v>6</v>
      </c>
      <c r="G108">
        <f t="shared" si="36"/>
        <v>1</v>
      </c>
      <c r="H108">
        <f t="shared" si="37"/>
        <v>0</v>
      </c>
      <c r="I108">
        <f t="shared" si="38"/>
        <v>1</v>
      </c>
      <c r="J108">
        <f t="shared" si="39"/>
        <v>0</v>
      </c>
      <c r="K108">
        <f t="shared" si="40"/>
        <v>1</v>
      </c>
      <c r="L108">
        <f t="shared" si="41"/>
        <v>0</v>
      </c>
      <c r="M108">
        <f t="shared" si="42"/>
        <v>1</v>
      </c>
      <c r="N108">
        <f t="shared" si="43"/>
        <v>0</v>
      </c>
      <c r="O108">
        <f t="shared" si="44"/>
        <v>1</v>
      </c>
      <c r="P108">
        <f t="shared" si="45"/>
        <v>0</v>
      </c>
      <c r="Q108">
        <f t="shared" si="46"/>
        <v>1</v>
      </c>
      <c r="R108">
        <f t="shared" si="47"/>
        <v>0</v>
      </c>
    </row>
    <row r="109" spans="1:18" x14ac:dyDescent="0.25">
      <c r="A109">
        <v>98</v>
      </c>
      <c r="B109" t="str">
        <f t="shared" si="32"/>
        <v>Kyle</v>
      </c>
      <c r="C109" s="10"/>
      <c r="D109" t="str">
        <f t="shared" ref="D109:D140" si="48">IF(C109="","",IF(C108="NO",IF(C109="SI","REEMPLAZO","REEMPLAZO"),IF(C109="SI","NORMAL","RECHAZADO")))</f>
        <v/>
      </c>
      <c r="E109" s="11" t="str">
        <f t="shared" si="34"/>
        <v>Completar trabajo anterior</v>
      </c>
      <c r="F109">
        <f t="shared" si="35"/>
        <v>6</v>
      </c>
      <c r="G109">
        <f t="shared" ref="G109:G140" si="49">IF(AND(F109=1,C109="SI",D109="NORMAL"),1,G108)</f>
        <v>1</v>
      </c>
      <c r="H109">
        <f t="shared" si="37"/>
        <v>0</v>
      </c>
      <c r="I109">
        <f t="shared" si="38"/>
        <v>1</v>
      </c>
      <c r="J109">
        <f t="shared" si="39"/>
        <v>0</v>
      </c>
      <c r="K109">
        <f t="shared" si="40"/>
        <v>1</v>
      </c>
      <c r="L109">
        <f t="shared" si="41"/>
        <v>0</v>
      </c>
      <c r="M109">
        <f t="shared" si="42"/>
        <v>1</v>
      </c>
      <c r="N109">
        <f t="shared" si="43"/>
        <v>0</v>
      </c>
      <c r="O109">
        <f t="shared" si="44"/>
        <v>1</v>
      </c>
      <c r="P109">
        <f t="shared" si="45"/>
        <v>0</v>
      </c>
      <c r="Q109">
        <f t="shared" si="46"/>
        <v>1</v>
      </c>
      <c r="R109">
        <f t="shared" si="47"/>
        <v>0</v>
      </c>
    </row>
    <row r="110" spans="1:18" x14ac:dyDescent="0.25">
      <c r="A110">
        <v>99</v>
      </c>
      <c r="B110" t="str">
        <f t="shared" si="32"/>
        <v>Kyle</v>
      </c>
      <c r="C110" s="10"/>
      <c r="D110" t="str">
        <f t="shared" si="48"/>
        <v/>
      </c>
      <c r="E110" s="11" t="str">
        <f t="shared" si="34"/>
        <v>Completar trabajo anterior</v>
      </c>
      <c r="F110">
        <f t="shared" si="35"/>
        <v>6</v>
      </c>
      <c r="G110">
        <f t="shared" si="49"/>
        <v>1</v>
      </c>
      <c r="H110">
        <f t="shared" si="37"/>
        <v>0</v>
      </c>
      <c r="I110">
        <f t="shared" si="38"/>
        <v>1</v>
      </c>
      <c r="J110">
        <f t="shared" si="39"/>
        <v>0</v>
      </c>
      <c r="K110">
        <f t="shared" si="40"/>
        <v>1</v>
      </c>
      <c r="L110">
        <f t="shared" si="41"/>
        <v>0</v>
      </c>
      <c r="M110">
        <f t="shared" si="42"/>
        <v>1</v>
      </c>
      <c r="N110">
        <f t="shared" si="43"/>
        <v>0</v>
      </c>
      <c r="O110">
        <f t="shared" si="44"/>
        <v>1</v>
      </c>
      <c r="P110">
        <f t="shared" si="45"/>
        <v>0</v>
      </c>
      <c r="Q110">
        <f t="shared" si="46"/>
        <v>1</v>
      </c>
      <c r="R110">
        <f t="shared" si="47"/>
        <v>0</v>
      </c>
    </row>
    <row r="111" spans="1:18" x14ac:dyDescent="0.25">
      <c r="A111">
        <v>100</v>
      </c>
      <c r="B111" t="str">
        <f t="shared" si="32"/>
        <v>Kyle</v>
      </c>
      <c r="C111" s="10"/>
      <c r="D111" t="str">
        <f t="shared" si="48"/>
        <v/>
      </c>
      <c r="E111" s="11" t="str">
        <f t="shared" si="34"/>
        <v>Completar trabajo anterior</v>
      </c>
      <c r="F111">
        <f t="shared" si="35"/>
        <v>6</v>
      </c>
      <c r="G111">
        <f t="shared" si="49"/>
        <v>1</v>
      </c>
      <c r="H111">
        <f t="shared" si="37"/>
        <v>0</v>
      </c>
      <c r="I111">
        <f t="shared" si="38"/>
        <v>1</v>
      </c>
      <c r="J111">
        <f t="shared" si="39"/>
        <v>0</v>
      </c>
      <c r="K111">
        <f t="shared" si="40"/>
        <v>1</v>
      </c>
      <c r="L111">
        <f t="shared" si="41"/>
        <v>0</v>
      </c>
      <c r="M111">
        <f t="shared" si="42"/>
        <v>1</v>
      </c>
      <c r="N111">
        <f t="shared" si="43"/>
        <v>0</v>
      </c>
      <c r="O111">
        <f t="shared" si="44"/>
        <v>1</v>
      </c>
      <c r="P111">
        <f t="shared" si="45"/>
        <v>0</v>
      </c>
      <c r="Q111">
        <f t="shared" si="46"/>
        <v>1</v>
      </c>
      <c r="R111">
        <f t="shared" si="47"/>
        <v>0</v>
      </c>
    </row>
    <row r="115" spans="1:5" ht="15.75" x14ac:dyDescent="0.25">
      <c r="A115" s="4" t="s">
        <v>33</v>
      </c>
      <c r="B115" s="4"/>
      <c r="C115" s="4"/>
      <c r="D115" s="4"/>
      <c r="E115" s="4"/>
    </row>
    <row r="116" spans="1:5" x14ac:dyDescent="0.25">
      <c r="A116" s="3" t="s">
        <v>34</v>
      </c>
      <c r="B116" s="3"/>
      <c r="C116" s="3"/>
      <c r="D116" s="3"/>
      <c r="E116" s="3"/>
    </row>
    <row r="117" spans="1:5" x14ac:dyDescent="0.25">
      <c r="A117" s="3" t="s">
        <v>35</v>
      </c>
      <c r="B117" s="3"/>
      <c r="C117" s="3"/>
      <c r="D117" s="3"/>
      <c r="E117" s="3"/>
    </row>
    <row r="118" spans="1:5" x14ac:dyDescent="0.25">
      <c r="A118" s="3" t="s">
        <v>36</v>
      </c>
      <c r="B118" s="3"/>
      <c r="C118" s="3"/>
      <c r="D118" s="3"/>
      <c r="E118" s="3"/>
    </row>
    <row r="120" spans="1:5" x14ac:dyDescent="0.25">
      <c r="A120" s="2" t="s">
        <v>37</v>
      </c>
      <c r="B120" s="2"/>
      <c r="C120" s="2"/>
      <c r="D120" s="2"/>
      <c r="E120" s="2"/>
    </row>
    <row r="121" spans="1:5" x14ac:dyDescent="0.25">
      <c r="A121" s="1" t="s">
        <v>38</v>
      </c>
      <c r="B121" s="1"/>
      <c r="C121" s="1"/>
      <c r="D121" s="1"/>
      <c r="E121" s="1"/>
    </row>
    <row r="122" spans="1:5" x14ac:dyDescent="0.25">
      <c r="A122" s="1" t="s">
        <v>39</v>
      </c>
      <c r="B122" s="1"/>
      <c r="C122" s="1"/>
      <c r="D122" s="1"/>
      <c r="E122" s="1"/>
    </row>
    <row r="123" spans="1:5" x14ac:dyDescent="0.25">
      <c r="A123" s="1" t="s">
        <v>40</v>
      </c>
      <c r="B123" s="1"/>
      <c r="C123" s="1"/>
      <c r="D123" s="1"/>
      <c r="E123" s="1"/>
    </row>
    <row r="125" spans="1:5" x14ac:dyDescent="0.25">
      <c r="A125" s="2" t="s">
        <v>41</v>
      </c>
      <c r="B125" s="2"/>
      <c r="C125" s="2"/>
      <c r="D125" s="2"/>
      <c r="E125" s="2"/>
    </row>
    <row r="126" spans="1:5" x14ac:dyDescent="0.25">
      <c r="A126" s="1" t="s">
        <v>42</v>
      </c>
      <c r="B126" s="1"/>
      <c r="C126" s="1"/>
      <c r="D126" s="1"/>
      <c r="E126" s="1"/>
    </row>
    <row r="127" spans="1:5" x14ac:dyDescent="0.25">
      <c r="A127" s="1" t="s">
        <v>43</v>
      </c>
      <c r="B127" s="1"/>
      <c r="C127" s="1"/>
      <c r="D127" s="1"/>
      <c r="E127" s="1"/>
    </row>
    <row r="128" spans="1:5" x14ac:dyDescent="0.25">
      <c r="A128" s="1" t="s">
        <v>44</v>
      </c>
      <c r="B128" s="1"/>
      <c r="C128" s="1"/>
      <c r="D128" s="1"/>
      <c r="E128" s="1"/>
    </row>
    <row r="129" spans="1:5" x14ac:dyDescent="0.25">
      <c r="A129" s="1" t="s">
        <v>45</v>
      </c>
      <c r="B129" s="1"/>
      <c r="C129" s="1"/>
      <c r="D129" s="1"/>
      <c r="E129" s="1"/>
    </row>
    <row r="130" spans="1:5" x14ac:dyDescent="0.25">
      <c r="A130" s="1" t="s">
        <v>46</v>
      </c>
      <c r="B130" s="1"/>
      <c r="C130" s="1"/>
      <c r="D130" s="1"/>
      <c r="E130" s="1"/>
    </row>
    <row r="131" spans="1:5" x14ac:dyDescent="0.25">
      <c r="A131" s="1" t="s">
        <v>47</v>
      </c>
      <c r="B131" s="1"/>
      <c r="C131" s="1"/>
      <c r="D131" s="1"/>
      <c r="E131" s="1"/>
    </row>
    <row r="133" spans="1:5" x14ac:dyDescent="0.25">
      <c r="A133" s="3" t="s">
        <v>48</v>
      </c>
      <c r="B133" s="3"/>
      <c r="C133" s="3"/>
      <c r="D133" s="3"/>
      <c r="E133" s="3"/>
    </row>
  </sheetData>
  <mergeCells count="18">
    <mergeCell ref="A130:E130"/>
    <mergeCell ref="A131:E131"/>
    <mergeCell ref="A133:E133"/>
    <mergeCell ref="A125:E125"/>
    <mergeCell ref="A126:E126"/>
    <mergeCell ref="A127:E127"/>
    <mergeCell ref="A128:E128"/>
    <mergeCell ref="A129:E129"/>
    <mergeCell ref="A118:E118"/>
    <mergeCell ref="A120:E120"/>
    <mergeCell ref="A121:E121"/>
    <mergeCell ref="A122:E122"/>
    <mergeCell ref="A123:E123"/>
    <mergeCell ref="A1:E1"/>
    <mergeCell ref="A3:B3"/>
    <mergeCell ref="A115:E115"/>
    <mergeCell ref="A116:E116"/>
    <mergeCell ref="A117:E1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422F-3040-470C-98D2-0792C612ED27}">
  <dimension ref="A1:F31"/>
  <sheetViews>
    <sheetView tabSelected="1" zoomScale="69" workbookViewId="0">
      <selection activeCell="F30" sqref="F30:F31"/>
    </sheetView>
  </sheetViews>
  <sheetFormatPr baseColWidth="10" defaultRowHeight="15" x14ac:dyDescent="0.25"/>
  <cols>
    <col min="1" max="2" width="12" customWidth="1"/>
    <col min="3" max="3" width="16.5703125" bestFit="1" customWidth="1"/>
    <col min="4" max="4" width="12" customWidth="1"/>
    <col min="5" max="5" width="164.42578125" bestFit="1" customWidth="1"/>
    <col min="6" max="6" width="59.140625" bestFit="1" customWidth="1"/>
  </cols>
  <sheetData>
    <row r="1" spans="1:6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</row>
    <row r="2" spans="1:6" x14ac:dyDescent="0.25">
      <c r="A2" t="s">
        <v>116</v>
      </c>
      <c r="B2" t="s">
        <v>51</v>
      </c>
      <c r="C2" t="s">
        <v>70</v>
      </c>
      <c r="D2" t="s">
        <v>87</v>
      </c>
      <c r="E2" t="s">
        <v>95</v>
      </c>
      <c r="F2" s="12" t="s">
        <v>97</v>
      </c>
    </row>
    <row r="3" spans="1:6" x14ac:dyDescent="0.25">
      <c r="B3" t="s">
        <v>52</v>
      </c>
      <c r="C3" t="s">
        <v>71</v>
      </c>
      <c r="D3" t="s">
        <v>88</v>
      </c>
      <c r="E3" t="s">
        <v>89</v>
      </c>
      <c r="F3" s="13" t="s">
        <v>90</v>
      </c>
    </row>
    <row r="4" spans="1:6" x14ac:dyDescent="0.25">
      <c r="B4" t="s">
        <v>53</v>
      </c>
      <c r="C4" t="s">
        <v>72</v>
      </c>
      <c r="D4" t="s">
        <v>87</v>
      </c>
      <c r="E4" t="s">
        <v>91</v>
      </c>
      <c r="F4" s="12" t="s">
        <v>98</v>
      </c>
    </row>
    <row r="5" spans="1:6" x14ac:dyDescent="0.25">
      <c r="B5" t="s">
        <v>54</v>
      </c>
      <c r="C5" t="s">
        <v>73</v>
      </c>
      <c r="D5" t="s">
        <v>99</v>
      </c>
      <c r="E5" t="s">
        <v>92</v>
      </c>
      <c r="F5" s="12" t="s">
        <v>100</v>
      </c>
    </row>
    <row r="6" spans="1:6" x14ac:dyDescent="0.25">
      <c r="B6" t="s">
        <v>55</v>
      </c>
      <c r="C6" t="s">
        <v>74</v>
      </c>
      <c r="D6" t="s">
        <v>88</v>
      </c>
      <c r="E6" t="s">
        <v>101</v>
      </c>
      <c r="F6" s="13" t="s">
        <v>138</v>
      </c>
    </row>
    <row r="7" spans="1:6" x14ac:dyDescent="0.25">
      <c r="B7" t="s">
        <v>56</v>
      </c>
      <c r="C7" t="s">
        <v>75</v>
      </c>
      <c r="D7" t="s">
        <v>88</v>
      </c>
      <c r="E7" t="s">
        <v>102</v>
      </c>
      <c r="F7" s="13" t="s">
        <v>139</v>
      </c>
    </row>
    <row r="8" spans="1:6" x14ac:dyDescent="0.25">
      <c r="A8" t="s">
        <v>107</v>
      </c>
      <c r="B8" t="s">
        <v>57</v>
      </c>
      <c r="C8" t="s">
        <v>70</v>
      </c>
      <c r="D8" t="s">
        <v>88</v>
      </c>
      <c r="E8" t="s">
        <v>104</v>
      </c>
      <c r="F8" t="s">
        <v>103</v>
      </c>
    </row>
    <row r="9" spans="1:6" x14ac:dyDescent="0.25">
      <c r="B9" t="s">
        <v>58</v>
      </c>
      <c r="C9" t="s">
        <v>71</v>
      </c>
      <c r="D9" t="s">
        <v>87</v>
      </c>
      <c r="E9" t="s">
        <v>96</v>
      </c>
      <c r="F9" s="12" t="s">
        <v>109</v>
      </c>
    </row>
    <row r="10" spans="1:6" x14ac:dyDescent="0.25">
      <c r="B10" t="s">
        <v>59</v>
      </c>
      <c r="C10" t="s">
        <v>72</v>
      </c>
      <c r="D10" t="s">
        <v>99</v>
      </c>
      <c r="E10" t="s">
        <v>91</v>
      </c>
      <c r="F10" s="12" t="s">
        <v>135</v>
      </c>
    </row>
    <row r="11" spans="1:6" x14ac:dyDescent="0.25">
      <c r="B11" t="s">
        <v>60</v>
      </c>
      <c r="C11" t="s">
        <v>73</v>
      </c>
      <c r="D11" t="s">
        <v>87</v>
      </c>
      <c r="E11" t="s">
        <v>92</v>
      </c>
      <c r="F11" s="12" t="s">
        <v>136</v>
      </c>
    </row>
    <row r="12" spans="1:6" x14ac:dyDescent="0.25">
      <c r="B12" t="s">
        <v>61</v>
      </c>
      <c r="C12" t="s">
        <v>74</v>
      </c>
      <c r="D12" t="s">
        <v>87</v>
      </c>
      <c r="E12" t="s">
        <v>93</v>
      </c>
      <c r="F12" s="12" t="s">
        <v>105</v>
      </c>
    </row>
    <row r="13" spans="1:6" x14ac:dyDescent="0.25">
      <c r="B13" t="s">
        <v>62</v>
      </c>
      <c r="C13" t="s">
        <v>75</v>
      </c>
      <c r="D13" t="s">
        <v>87</v>
      </c>
      <c r="E13" t="s">
        <v>94</v>
      </c>
      <c r="F13" s="12" t="s">
        <v>106</v>
      </c>
    </row>
    <row r="14" spans="1:6" x14ac:dyDescent="0.25">
      <c r="A14" t="s">
        <v>113</v>
      </c>
      <c r="B14" t="s">
        <v>63</v>
      </c>
      <c r="C14" t="s">
        <v>70</v>
      </c>
      <c r="D14" t="s">
        <v>87</v>
      </c>
      <c r="E14" t="s">
        <v>95</v>
      </c>
      <c r="F14" s="12" t="s">
        <v>137</v>
      </c>
    </row>
    <row r="15" spans="1:6" x14ac:dyDescent="0.25">
      <c r="B15" t="s">
        <v>64</v>
      </c>
      <c r="C15" t="s">
        <v>71</v>
      </c>
      <c r="D15" t="s">
        <v>87</v>
      </c>
      <c r="E15" t="s">
        <v>96</v>
      </c>
      <c r="F15" s="12" t="s">
        <v>108</v>
      </c>
    </row>
    <row r="16" spans="1:6" x14ac:dyDescent="0.25">
      <c r="B16" t="s">
        <v>65</v>
      </c>
      <c r="C16" t="s">
        <v>72</v>
      </c>
      <c r="D16" t="s">
        <v>88</v>
      </c>
      <c r="E16" t="s">
        <v>110</v>
      </c>
      <c r="F16" s="13" t="s">
        <v>127</v>
      </c>
    </row>
    <row r="17" spans="1:6" x14ac:dyDescent="0.25">
      <c r="B17" t="s">
        <v>66</v>
      </c>
      <c r="C17" t="s">
        <v>73</v>
      </c>
      <c r="D17" t="s">
        <v>88</v>
      </c>
      <c r="E17" t="s">
        <v>111</v>
      </c>
      <c r="F17" s="13" t="s">
        <v>141</v>
      </c>
    </row>
    <row r="18" spans="1:6" x14ac:dyDescent="0.25">
      <c r="B18" t="s">
        <v>67</v>
      </c>
      <c r="C18" t="s">
        <v>74</v>
      </c>
      <c r="D18" t="s">
        <v>87</v>
      </c>
      <c r="E18" t="s">
        <v>93</v>
      </c>
      <c r="F18" s="12" t="s">
        <v>140</v>
      </c>
    </row>
    <row r="19" spans="1:6" x14ac:dyDescent="0.25">
      <c r="B19" t="s">
        <v>68</v>
      </c>
      <c r="C19" t="s">
        <v>75</v>
      </c>
      <c r="D19" t="s">
        <v>88</v>
      </c>
      <c r="E19" t="s">
        <v>112</v>
      </c>
      <c r="F19" s="13" t="s">
        <v>142</v>
      </c>
    </row>
    <row r="20" spans="1:6" x14ac:dyDescent="0.25">
      <c r="A20" t="s">
        <v>114</v>
      </c>
      <c r="B20" t="s">
        <v>69</v>
      </c>
      <c r="C20" t="s">
        <v>70</v>
      </c>
      <c r="D20" t="s">
        <v>88</v>
      </c>
      <c r="E20" t="s">
        <v>123</v>
      </c>
      <c r="F20" s="13" t="s">
        <v>124</v>
      </c>
    </row>
    <row r="21" spans="1:6" x14ac:dyDescent="0.25">
      <c r="B21" t="s">
        <v>76</v>
      </c>
      <c r="C21" t="s">
        <v>71</v>
      </c>
      <c r="D21" t="s">
        <v>88</v>
      </c>
      <c r="E21" t="s">
        <v>125</v>
      </c>
      <c r="F21" s="13" t="s">
        <v>144</v>
      </c>
    </row>
    <row r="22" spans="1:6" x14ac:dyDescent="0.25">
      <c r="B22" t="s">
        <v>77</v>
      </c>
      <c r="C22" t="s">
        <v>72</v>
      </c>
      <c r="D22" t="s">
        <v>88</v>
      </c>
      <c r="E22" t="s">
        <v>126</v>
      </c>
      <c r="F22" s="13" t="s">
        <v>128</v>
      </c>
    </row>
    <row r="23" spans="1:6" x14ac:dyDescent="0.25">
      <c r="B23" t="s">
        <v>78</v>
      </c>
      <c r="C23" t="s">
        <v>73</v>
      </c>
      <c r="D23" t="s">
        <v>88</v>
      </c>
      <c r="E23" t="s">
        <v>129</v>
      </c>
      <c r="F23" s="13" t="s">
        <v>143</v>
      </c>
    </row>
    <row r="24" spans="1:6" x14ac:dyDescent="0.25">
      <c r="B24" t="s">
        <v>79</v>
      </c>
      <c r="C24" t="s">
        <v>74</v>
      </c>
      <c r="D24" t="s">
        <v>88</v>
      </c>
      <c r="E24" t="s">
        <v>130</v>
      </c>
      <c r="F24" t="s">
        <v>103</v>
      </c>
    </row>
    <row r="25" spans="1:6" x14ac:dyDescent="0.25">
      <c r="B25" t="s">
        <v>80</v>
      </c>
      <c r="C25" t="s">
        <v>75</v>
      </c>
      <c r="D25" t="s">
        <v>99</v>
      </c>
      <c r="E25" t="s">
        <v>94</v>
      </c>
      <c r="F25" s="12" t="s">
        <v>131</v>
      </c>
    </row>
    <row r="26" spans="1:6" x14ac:dyDescent="0.25">
      <c r="A26" t="s">
        <v>115</v>
      </c>
      <c r="B26" t="s">
        <v>81</v>
      </c>
      <c r="C26" t="s">
        <v>70</v>
      </c>
      <c r="D26" t="s">
        <v>88</v>
      </c>
      <c r="E26" t="s">
        <v>132</v>
      </c>
      <c r="F26" s="13" t="s">
        <v>133</v>
      </c>
    </row>
    <row r="27" spans="1:6" x14ac:dyDescent="0.25">
      <c r="B27" t="s">
        <v>82</v>
      </c>
      <c r="C27" t="s">
        <v>71</v>
      </c>
      <c r="D27" t="s">
        <v>99</v>
      </c>
      <c r="E27" t="s">
        <v>96</v>
      </c>
      <c r="F27" s="12" t="s">
        <v>134</v>
      </c>
    </row>
    <row r="28" spans="1:6" x14ac:dyDescent="0.25">
      <c r="B28" t="s">
        <v>83</v>
      </c>
      <c r="C28" t="s">
        <v>72</v>
      </c>
      <c r="D28" t="s">
        <v>99</v>
      </c>
      <c r="E28" t="s">
        <v>91</v>
      </c>
      <c r="F28" s="12" t="s">
        <v>145</v>
      </c>
    </row>
    <row r="29" spans="1:6" x14ac:dyDescent="0.25">
      <c r="B29" t="s">
        <v>84</v>
      </c>
      <c r="C29" t="s">
        <v>73</v>
      </c>
      <c r="D29" t="s">
        <v>99</v>
      </c>
      <c r="E29" t="s">
        <v>92</v>
      </c>
      <c r="F29" s="12" t="s">
        <v>146</v>
      </c>
    </row>
    <row r="30" spans="1:6" x14ac:dyDescent="0.25">
      <c r="B30" t="s">
        <v>85</v>
      </c>
      <c r="C30" t="s">
        <v>74</v>
      </c>
      <c r="D30" t="s">
        <v>99</v>
      </c>
      <c r="E30" t="s">
        <v>93</v>
      </c>
      <c r="F30" s="12" t="s">
        <v>147</v>
      </c>
    </row>
    <row r="31" spans="1:6" x14ac:dyDescent="0.25">
      <c r="B31" t="s">
        <v>86</v>
      </c>
      <c r="C31" t="s">
        <v>75</v>
      </c>
      <c r="D31" t="s">
        <v>99</v>
      </c>
      <c r="E31" t="s">
        <v>94</v>
      </c>
      <c r="F31" s="12" t="s">
        <v>148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Sistema Rotación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 Handley</cp:lastModifiedBy>
  <cp:revision>0</cp:revision>
  <dcterms:created xsi:type="dcterms:W3CDTF">2026-02-01T01:09:44Z</dcterms:created>
  <dcterms:modified xsi:type="dcterms:W3CDTF">2026-02-03T09:00:22Z</dcterms:modified>
  <dc:language>en-US</dc:language>
</cp:coreProperties>
</file>